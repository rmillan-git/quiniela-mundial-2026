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ardo\Documents\World Cup 2018\"/>
    </mc:Choice>
  </mc:AlternateContent>
  <xr:revisionPtr revIDLastSave="0" documentId="13_ncr:1_{577B229B-5D27-4931-AE1E-7783C4E0D5CD}" xr6:coauthVersionLast="33" xr6:coauthVersionMax="33" xr10:uidLastSave="{00000000-0000-0000-0000-000000000000}"/>
  <bookViews>
    <workbookView xWindow="0" yWindow="0" windowWidth="28800" windowHeight="12225" xr2:uid="{3A225C21-5BF3-4D39-8538-755C45B8225B}"/>
  </bookViews>
  <sheets>
    <sheet name="Results" sheetId="1" r:id="rId1"/>
    <sheet name="Positions" sheetId="2" r:id="rId2"/>
  </sheets>
  <definedNames>
    <definedName name="_xlnm.Print_Area" localSheetId="0">Results!$A$1:$EO$13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Q12" i="1" l="1"/>
  <c r="EQ9" i="1"/>
  <c r="EQ6" i="1"/>
  <c r="EC24" i="1" l="1"/>
  <c r="EA24" i="1"/>
  <c r="CW33" i="1"/>
  <c r="DK33" i="1"/>
  <c r="DI33" i="1"/>
  <c r="DG33" i="1"/>
  <c r="DE33" i="1"/>
  <c r="DC33" i="1"/>
  <c r="CY33" i="1"/>
  <c r="B39" i="1"/>
  <c r="CR39" i="1"/>
  <c r="CP39" i="1"/>
  <c r="CN39" i="1"/>
  <c r="CL39" i="1"/>
  <c r="CJ39" i="1"/>
  <c r="CH39" i="1"/>
  <c r="CF39" i="1"/>
  <c r="CD39" i="1"/>
  <c r="CB39" i="1"/>
  <c r="BZ39" i="1"/>
  <c r="BX39" i="1"/>
  <c r="BV39" i="1"/>
  <c r="BT39" i="1"/>
  <c r="BR39" i="1"/>
  <c r="BP39" i="1"/>
  <c r="BN39" i="1"/>
  <c r="BL39" i="1"/>
  <c r="BJ39" i="1"/>
  <c r="BH39" i="1"/>
  <c r="BF39" i="1"/>
  <c r="BD39" i="1"/>
  <c r="BB39" i="1"/>
  <c r="AZ39" i="1"/>
  <c r="AX39" i="1"/>
  <c r="AV39" i="1"/>
  <c r="AT39" i="1"/>
  <c r="AR39" i="1"/>
  <c r="AP39" i="1"/>
  <c r="AN39" i="1"/>
  <c r="AL39" i="1"/>
  <c r="AJ39" i="1"/>
  <c r="AH39" i="1"/>
  <c r="AF39" i="1"/>
  <c r="AD39" i="1"/>
  <c r="AB39" i="1"/>
  <c r="Z39" i="1"/>
  <c r="X39" i="1"/>
  <c r="V39" i="1"/>
  <c r="T39" i="1"/>
  <c r="R39" i="1"/>
  <c r="P39" i="1"/>
  <c r="N39" i="1"/>
  <c r="L39" i="1"/>
  <c r="J39" i="1"/>
  <c r="H39" i="1"/>
  <c r="F39" i="1"/>
  <c r="D39" i="1"/>
  <c r="B36" i="1"/>
  <c r="CR36" i="1"/>
  <c r="CP36" i="1"/>
  <c r="CN36" i="1"/>
  <c r="CL36" i="1"/>
  <c r="CJ36" i="1"/>
  <c r="CH36" i="1"/>
  <c r="CF36" i="1"/>
  <c r="CD36" i="1"/>
  <c r="CB36" i="1"/>
  <c r="BZ36" i="1"/>
  <c r="BX36" i="1"/>
  <c r="BV36" i="1"/>
  <c r="BT36" i="1"/>
  <c r="BR36" i="1"/>
  <c r="BP36" i="1"/>
  <c r="BN36" i="1"/>
  <c r="BL36" i="1"/>
  <c r="BJ36" i="1"/>
  <c r="BH36" i="1"/>
  <c r="BF36" i="1"/>
  <c r="BD36" i="1"/>
  <c r="BB36" i="1"/>
  <c r="AZ36" i="1"/>
  <c r="AX36" i="1"/>
  <c r="AV36" i="1"/>
  <c r="AT36" i="1"/>
  <c r="AR36" i="1"/>
  <c r="AP36" i="1"/>
  <c r="AN36" i="1"/>
  <c r="AL36" i="1"/>
  <c r="AJ36" i="1"/>
  <c r="AH36" i="1"/>
  <c r="AF36" i="1"/>
  <c r="AD36" i="1"/>
  <c r="AB36" i="1"/>
  <c r="Z36" i="1"/>
  <c r="X36" i="1"/>
  <c r="V36" i="1"/>
  <c r="T36" i="1"/>
  <c r="R36" i="1"/>
  <c r="P36" i="1"/>
  <c r="N36" i="1"/>
  <c r="L36" i="1"/>
  <c r="J36" i="1"/>
  <c r="H36" i="1"/>
  <c r="F36" i="1"/>
  <c r="D36" i="1"/>
  <c r="DP45" i="1"/>
  <c r="DT45" i="1"/>
  <c r="DR45" i="1"/>
  <c r="DP33" i="1"/>
  <c r="DT33" i="1"/>
  <c r="DR33" i="1"/>
  <c r="B18" i="1"/>
  <c r="D18" i="1"/>
  <c r="F18" i="1"/>
  <c r="H18" i="1"/>
  <c r="J18" i="1"/>
  <c r="L18" i="1"/>
  <c r="N18" i="1"/>
  <c r="P18" i="1"/>
  <c r="R18" i="1"/>
  <c r="T18" i="1"/>
  <c r="V18" i="1"/>
  <c r="X18" i="1"/>
  <c r="Z18" i="1"/>
  <c r="AB18" i="1"/>
  <c r="AD18" i="1"/>
  <c r="AF18" i="1"/>
  <c r="AH18" i="1"/>
  <c r="AJ18" i="1"/>
  <c r="AL18" i="1"/>
  <c r="AN18" i="1"/>
  <c r="AP18" i="1"/>
  <c r="AR18" i="1"/>
  <c r="AT18" i="1"/>
  <c r="AV18" i="1"/>
  <c r="AX18" i="1"/>
  <c r="AZ18" i="1"/>
  <c r="BB18" i="1"/>
  <c r="BD18" i="1"/>
  <c r="BF18" i="1"/>
  <c r="BH18" i="1"/>
  <c r="BJ18" i="1"/>
  <c r="BL18" i="1"/>
  <c r="BN18" i="1"/>
  <c r="BP18" i="1"/>
  <c r="BR18" i="1"/>
  <c r="BT18" i="1"/>
  <c r="BV18" i="1"/>
  <c r="BX18" i="1"/>
  <c r="BZ18" i="1"/>
  <c r="CB18" i="1"/>
  <c r="CD18" i="1"/>
  <c r="CF18" i="1"/>
  <c r="CH18" i="1"/>
  <c r="CJ18" i="1"/>
  <c r="CL18" i="1"/>
  <c r="CN18" i="1"/>
  <c r="CP18" i="1"/>
  <c r="CR18" i="1"/>
  <c r="DP9" i="1"/>
  <c r="DR9" i="1"/>
  <c r="DT9" i="1"/>
  <c r="DP12" i="1"/>
  <c r="DR12" i="1"/>
  <c r="DT12" i="1"/>
  <c r="DP15" i="1"/>
  <c r="DR15" i="1"/>
  <c r="DT15" i="1"/>
  <c r="DP18" i="1"/>
  <c r="DR18" i="1"/>
  <c r="DT18" i="1"/>
  <c r="DP21" i="1"/>
  <c r="DR21" i="1"/>
  <c r="DT21" i="1"/>
  <c r="DP24" i="1"/>
  <c r="DR24" i="1"/>
  <c r="DT24" i="1"/>
  <c r="DP27" i="1"/>
  <c r="DR27" i="1"/>
  <c r="DT27" i="1"/>
  <c r="DP30" i="1"/>
  <c r="DR30" i="1"/>
  <c r="DT30" i="1"/>
  <c r="DP36" i="1"/>
  <c r="DR36" i="1"/>
  <c r="DT36" i="1"/>
  <c r="DP39" i="1"/>
  <c r="DR39" i="1"/>
  <c r="DT39" i="1"/>
  <c r="DP42" i="1"/>
  <c r="DR42" i="1"/>
  <c r="DT42" i="1"/>
  <c r="DP48" i="1"/>
  <c r="DR48" i="1"/>
  <c r="DT48" i="1"/>
  <c r="B6" i="1"/>
  <c r="D6" i="1"/>
  <c r="F6" i="1"/>
  <c r="H6" i="1"/>
  <c r="J6" i="1"/>
  <c r="L6" i="1"/>
  <c r="N6" i="1"/>
  <c r="P6" i="1"/>
  <c r="R6" i="1"/>
  <c r="T6" i="1"/>
  <c r="V6" i="1"/>
  <c r="X6" i="1"/>
  <c r="Z6" i="1"/>
  <c r="AB6" i="1"/>
  <c r="AD6" i="1"/>
  <c r="AF6" i="1"/>
  <c r="AH6" i="1"/>
  <c r="AJ6" i="1"/>
  <c r="AL6" i="1"/>
  <c r="AN6" i="1"/>
  <c r="AP6" i="1"/>
  <c r="AR6" i="1"/>
  <c r="AT6" i="1"/>
  <c r="AV6" i="1"/>
  <c r="AX6" i="1"/>
  <c r="AZ6" i="1"/>
  <c r="BB6" i="1"/>
  <c r="BD6" i="1"/>
  <c r="BF6" i="1"/>
  <c r="BH6" i="1"/>
  <c r="BJ6" i="1"/>
  <c r="BL6" i="1"/>
  <c r="BN6" i="1"/>
  <c r="BP6" i="1"/>
  <c r="BR6" i="1"/>
  <c r="BT6" i="1"/>
  <c r="BV6" i="1"/>
  <c r="BX6" i="1"/>
  <c r="BZ6" i="1"/>
  <c r="CB6" i="1"/>
  <c r="CD6" i="1"/>
  <c r="CF6" i="1"/>
  <c r="CH6" i="1"/>
  <c r="CJ6" i="1"/>
  <c r="CL6" i="1"/>
  <c r="CN6" i="1"/>
  <c r="CP6" i="1"/>
  <c r="CR6" i="1"/>
  <c r="EQ48" i="1"/>
  <c r="EM48" i="1"/>
  <c r="EP48" i="1" s="1"/>
  <c r="EK48" i="1"/>
  <c r="EH48" i="1"/>
  <c r="EJ48" i="1" s="1"/>
  <c r="EF48" i="1"/>
  <c r="EC48" i="1"/>
  <c r="EA48" i="1"/>
  <c r="EE48" i="1" s="1"/>
  <c r="DY48" i="1"/>
  <c r="DN48" i="1"/>
  <c r="DK48" i="1"/>
  <c r="DI48" i="1"/>
  <c r="DG48" i="1"/>
  <c r="DE48" i="1"/>
  <c r="DC48" i="1"/>
  <c r="CY48" i="1"/>
  <c r="CW48" i="1"/>
  <c r="CU48" i="1"/>
  <c r="CR48" i="1"/>
  <c r="CP48" i="1"/>
  <c r="CN48" i="1"/>
  <c r="CL48" i="1"/>
  <c r="CJ48" i="1"/>
  <c r="CH48" i="1"/>
  <c r="CF48" i="1"/>
  <c r="CD48" i="1"/>
  <c r="CB48" i="1"/>
  <c r="BZ48" i="1"/>
  <c r="BX48" i="1"/>
  <c r="BV48" i="1"/>
  <c r="BT48" i="1"/>
  <c r="BR48" i="1"/>
  <c r="BP48" i="1"/>
  <c r="BN48" i="1"/>
  <c r="BL48" i="1"/>
  <c r="BJ48" i="1"/>
  <c r="BH48" i="1"/>
  <c r="BF48" i="1"/>
  <c r="BD48" i="1"/>
  <c r="BB48" i="1"/>
  <c r="AZ48" i="1"/>
  <c r="AX48" i="1"/>
  <c r="AV48" i="1"/>
  <c r="AT48" i="1"/>
  <c r="AR48" i="1"/>
  <c r="AP48" i="1"/>
  <c r="AN48" i="1"/>
  <c r="AL48" i="1"/>
  <c r="AJ48" i="1"/>
  <c r="AH48" i="1"/>
  <c r="AF48" i="1"/>
  <c r="AD48" i="1"/>
  <c r="AB48" i="1"/>
  <c r="Z48" i="1"/>
  <c r="X48" i="1"/>
  <c r="V48" i="1"/>
  <c r="T48" i="1"/>
  <c r="R48" i="1"/>
  <c r="P48" i="1"/>
  <c r="N48" i="1"/>
  <c r="L48" i="1"/>
  <c r="J48" i="1"/>
  <c r="H48" i="1"/>
  <c r="F48" i="1"/>
  <c r="D48" i="1"/>
  <c r="B48" i="1"/>
  <c r="EQ45" i="1"/>
  <c r="EM45" i="1"/>
  <c r="EP45" i="1" s="1"/>
  <c r="EK45" i="1"/>
  <c r="EH45" i="1"/>
  <c r="EJ45" i="1" s="1"/>
  <c r="EF45" i="1"/>
  <c r="EC45" i="1"/>
  <c r="EA45" i="1"/>
  <c r="EE45" i="1" s="1"/>
  <c r="DY45" i="1"/>
  <c r="DN45" i="1"/>
  <c r="DK45" i="1"/>
  <c r="DI45" i="1"/>
  <c r="DG45" i="1"/>
  <c r="DE45" i="1"/>
  <c r="DC45" i="1"/>
  <c r="CY45" i="1"/>
  <c r="CW45" i="1"/>
  <c r="CU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T45" i="1"/>
  <c r="BR45" i="1"/>
  <c r="BP45" i="1"/>
  <c r="BN45" i="1"/>
  <c r="BL45" i="1"/>
  <c r="BJ45" i="1"/>
  <c r="BH45" i="1"/>
  <c r="BF45" i="1"/>
  <c r="BD45" i="1"/>
  <c r="BB45" i="1"/>
  <c r="AZ45" i="1"/>
  <c r="AX45" i="1"/>
  <c r="AV45" i="1"/>
  <c r="AT45" i="1"/>
  <c r="AR45" i="1"/>
  <c r="AP45" i="1"/>
  <c r="AN45" i="1"/>
  <c r="AL45" i="1"/>
  <c r="AJ45" i="1"/>
  <c r="AH45" i="1"/>
  <c r="AF45" i="1"/>
  <c r="AD45" i="1"/>
  <c r="AB45" i="1"/>
  <c r="Z45" i="1"/>
  <c r="X45" i="1"/>
  <c r="V45" i="1"/>
  <c r="T45" i="1"/>
  <c r="R45" i="1"/>
  <c r="P45" i="1"/>
  <c r="N45" i="1"/>
  <c r="L45" i="1"/>
  <c r="J45" i="1"/>
  <c r="H45" i="1"/>
  <c r="F45" i="1"/>
  <c r="D45" i="1"/>
  <c r="B45" i="1"/>
  <c r="EQ42" i="1"/>
  <c r="EM42" i="1"/>
  <c r="EP42" i="1" s="1"/>
  <c r="EK42" i="1"/>
  <c r="EH42" i="1"/>
  <c r="EJ42" i="1" s="1"/>
  <c r="EF42" i="1"/>
  <c r="EC42" i="1"/>
  <c r="EA42" i="1"/>
  <c r="DY42" i="1"/>
  <c r="DN42" i="1"/>
  <c r="DK42" i="1"/>
  <c r="DI42" i="1"/>
  <c r="DG42" i="1"/>
  <c r="DE42" i="1"/>
  <c r="DC42" i="1"/>
  <c r="CY42" i="1"/>
  <c r="CW42" i="1"/>
  <c r="CU42" i="1"/>
  <c r="CR42" i="1"/>
  <c r="CP42" i="1"/>
  <c r="CN42" i="1"/>
  <c r="CL42" i="1"/>
  <c r="CJ42" i="1"/>
  <c r="CH42" i="1"/>
  <c r="CF42" i="1"/>
  <c r="CD42" i="1"/>
  <c r="CB42" i="1"/>
  <c r="BZ42" i="1"/>
  <c r="BX42" i="1"/>
  <c r="BV42" i="1"/>
  <c r="BT42" i="1"/>
  <c r="BR42" i="1"/>
  <c r="BP42" i="1"/>
  <c r="BN42" i="1"/>
  <c r="BL42" i="1"/>
  <c r="BJ42" i="1"/>
  <c r="BH42" i="1"/>
  <c r="BF42" i="1"/>
  <c r="BD42" i="1"/>
  <c r="BB42" i="1"/>
  <c r="AZ42" i="1"/>
  <c r="AX42" i="1"/>
  <c r="AV42" i="1"/>
  <c r="AT42" i="1"/>
  <c r="AR42" i="1"/>
  <c r="AP42" i="1"/>
  <c r="AN42" i="1"/>
  <c r="AL42" i="1"/>
  <c r="AJ42" i="1"/>
  <c r="AH42" i="1"/>
  <c r="AF42" i="1"/>
  <c r="AD42" i="1"/>
  <c r="AB42" i="1"/>
  <c r="Z42" i="1"/>
  <c r="X42" i="1"/>
  <c r="V42" i="1"/>
  <c r="T42" i="1"/>
  <c r="R42" i="1"/>
  <c r="P42" i="1"/>
  <c r="N42" i="1"/>
  <c r="L42" i="1"/>
  <c r="J42" i="1"/>
  <c r="H42" i="1"/>
  <c r="F42" i="1"/>
  <c r="D42" i="1"/>
  <c r="B42" i="1"/>
  <c r="EQ39" i="1"/>
  <c r="EM39" i="1"/>
  <c r="EP39" i="1" s="1"/>
  <c r="EK39" i="1"/>
  <c r="EH39" i="1"/>
  <c r="EJ39" i="1" s="1"/>
  <c r="EF39" i="1"/>
  <c r="EC39" i="1"/>
  <c r="EA39" i="1"/>
  <c r="DY39" i="1"/>
  <c r="DN39" i="1"/>
  <c r="DK39" i="1"/>
  <c r="DI39" i="1"/>
  <c r="DG39" i="1"/>
  <c r="DE39" i="1"/>
  <c r="DC39" i="1"/>
  <c r="CY39" i="1"/>
  <c r="CW39" i="1"/>
  <c r="CU39" i="1"/>
  <c r="EQ36" i="1"/>
  <c r="EM36" i="1"/>
  <c r="EP36" i="1" s="1"/>
  <c r="EK36" i="1"/>
  <c r="EH36" i="1"/>
  <c r="EJ36" i="1" s="1"/>
  <c r="EF36" i="1"/>
  <c r="EC36" i="1"/>
  <c r="EA36" i="1"/>
  <c r="DY36" i="1"/>
  <c r="DN36" i="1"/>
  <c r="DK36" i="1"/>
  <c r="DI36" i="1"/>
  <c r="DG36" i="1"/>
  <c r="DE36" i="1"/>
  <c r="DC36" i="1"/>
  <c r="CY36" i="1"/>
  <c r="CW36" i="1"/>
  <c r="CU36" i="1"/>
  <c r="EQ33" i="1"/>
  <c r="EM33" i="1"/>
  <c r="EP33" i="1" s="1"/>
  <c r="EK33" i="1"/>
  <c r="EH33" i="1"/>
  <c r="EJ33" i="1" s="1"/>
  <c r="EF33" i="1"/>
  <c r="EC33" i="1"/>
  <c r="EA33" i="1"/>
  <c r="DY33" i="1"/>
  <c r="DN33" i="1"/>
  <c r="CU33" i="1"/>
  <c r="CR33" i="1"/>
  <c r="CP33" i="1"/>
  <c r="CN33" i="1"/>
  <c r="CL33" i="1"/>
  <c r="CJ33" i="1"/>
  <c r="CH33" i="1"/>
  <c r="CF33" i="1"/>
  <c r="CD33" i="1"/>
  <c r="CB33" i="1"/>
  <c r="BZ33" i="1"/>
  <c r="BX33" i="1"/>
  <c r="BV33" i="1"/>
  <c r="BT33" i="1"/>
  <c r="BR33" i="1"/>
  <c r="BP33" i="1"/>
  <c r="BN33" i="1"/>
  <c r="BL33" i="1"/>
  <c r="BJ33" i="1"/>
  <c r="BH33" i="1"/>
  <c r="BF33" i="1"/>
  <c r="BD33" i="1"/>
  <c r="BB33" i="1"/>
  <c r="AZ33" i="1"/>
  <c r="AX33" i="1"/>
  <c r="AV33" i="1"/>
  <c r="AT33" i="1"/>
  <c r="AR33" i="1"/>
  <c r="AP33" i="1"/>
  <c r="AN33" i="1"/>
  <c r="AL33" i="1"/>
  <c r="AJ33" i="1"/>
  <c r="AH33" i="1"/>
  <c r="AF33" i="1"/>
  <c r="AD33" i="1"/>
  <c r="AB33" i="1"/>
  <c r="Z33" i="1"/>
  <c r="X33" i="1"/>
  <c r="V33" i="1"/>
  <c r="T33" i="1"/>
  <c r="R33" i="1"/>
  <c r="P33" i="1"/>
  <c r="N33" i="1"/>
  <c r="L33" i="1"/>
  <c r="J33" i="1"/>
  <c r="H33" i="1"/>
  <c r="F33" i="1"/>
  <c r="D33" i="1"/>
  <c r="B33" i="1"/>
  <c r="EQ30" i="1"/>
  <c r="EM30" i="1"/>
  <c r="EP30" i="1" s="1"/>
  <c r="EK30" i="1"/>
  <c r="EH30" i="1"/>
  <c r="EJ30" i="1" s="1"/>
  <c r="EF30" i="1"/>
  <c r="EC30" i="1"/>
  <c r="EA30" i="1"/>
  <c r="DY30" i="1"/>
  <c r="DN30" i="1"/>
  <c r="DK30" i="1"/>
  <c r="DI30" i="1"/>
  <c r="DG30" i="1"/>
  <c r="DE30" i="1"/>
  <c r="DC30" i="1"/>
  <c r="CY30" i="1"/>
  <c r="CW30" i="1"/>
  <c r="CU30" i="1"/>
  <c r="CR30" i="1"/>
  <c r="CP30" i="1"/>
  <c r="CN30" i="1"/>
  <c r="CL30" i="1"/>
  <c r="CJ30" i="1"/>
  <c r="CH30" i="1"/>
  <c r="CF30" i="1"/>
  <c r="CD30" i="1"/>
  <c r="CB30" i="1"/>
  <c r="BZ30" i="1"/>
  <c r="BX30" i="1"/>
  <c r="BV30" i="1"/>
  <c r="BT30" i="1"/>
  <c r="BR30" i="1"/>
  <c r="BP30" i="1"/>
  <c r="BN30" i="1"/>
  <c r="BL30" i="1"/>
  <c r="BJ30" i="1"/>
  <c r="BH30" i="1"/>
  <c r="BF30" i="1"/>
  <c r="BD30" i="1"/>
  <c r="BB30" i="1"/>
  <c r="AZ30" i="1"/>
  <c r="AX30" i="1"/>
  <c r="AV30" i="1"/>
  <c r="AT30" i="1"/>
  <c r="AR30" i="1"/>
  <c r="AP30" i="1"/>
  <c r="AN30" i="1"/>
  <c r="AL30" i="1"/>
  <c r="AJ30" i="1"/>
  <c r="AH30" i="1"/>
  <c r="AF30" i="1"/>
  <c r="AD30" i="1"/>
  <c r="AB30" i="1"/>
  <c r="Z30" i="1"/>
  <c r="X30" i="1"/>
  <c r="V30" i="1"/>
  <c r="T30" i="1"/>
  <c r="R30" i="1"/>
  <c r="P30" i="1"/>
  <c r="N30" i="1"/>
  <c r="L30" i="1"/>
  <c r="J30" i="1"/>
  <c r="H30" i="1"/>
  <c r="F30" i="1"/>
  <c r="D30" i="1"/>
  <c r="B30" i="1"/>
  <c r="EQ27" i="1"/>
  <c r="EM27" i="1"/>
  <c r="EP27" i="1" s="1"/>
  <c r="EK27" i="1"/>
  <c r="EH27" i="1"/>
  <c r="EJ27" i="1" s="1"/>
  <c r="EF27" i="1"/>
  <c r="EC27" i="1"/>
  <c r="EA27" i="1"/>
  <c r="DY27" i="1"/>
  <c r="DN27" i="1"/>
  <c r="DK27" i="1"/>
  <c r="DI27" i="1"/>
  <c r="DG27" i="1"/>
  <c r="DE27" i="1"/>
  <c r="DC27" i="1"/>
  <c r="CY27" i="1"/>
  <c r="CW27" i="1"/>
  <c r="CU27" i="1"/>
  <c r="CR27" i="1"/>
  <c r="CP27" i="1"/>
  <c r="CN27" i="1"/>
  <c r="CL27" i="1"/>
  <c r="CJ27" i="1"/>
  <c r="CH27" i="1"/>
  <c r="CF27" i="1"/>
  <c r="CD27" i="1"/>
  <c r="CB27" i="1"/>
  <c r="BZ27" i="1"/>
  <c r="BX27" i="1"/>
  <c r="BV27" i="1"/>
  <c r="BT27" i="1"/>
  <c r="BR27" i="1"/>
  <c r="BP27" i="1"/>
  <c r="BN27" i="1"/>
  <c r="BL27" i="1"/>
  <c r="BJ27" i="1"/>
  <c r="BH27" i="1"/>
  <c r="BF27" i="1"/>
  <c r="BD27" i="1"/>
  <c r="BB27" i="1"/>
  <c r="AZ27" i="1"/>
  <c r="AX27" i="1"/>
  <c r="AV27" i="1"/>
  <c r="AT27" i="1"/>
  <c r="AR27" i="1"/>
  <c r="AP27" i="1"/>
  <c r="AN27" i="1"/>
  <c r="AL27" i="1"/>
  <c r="AJ27" i="1"/>
  <c r="AH27" i="1"/>
  <c r="AF27" i="1"/>
  <c r="AD27" i="1"/>
  <c r="AB27" i="1"/>
  <c r="Z27" i="1"/>
  <c r="X27" i="1"/>
  <c r="V27" i="1"/>
  <c r="T27" i="1"/>
  <c r="R27" i="1"/>
  <c r="P27" i="1"/>
  <c r="N27" i="1"/>
  <c r="L27" i="1"/>
  <c r="J27" i="1"/>
  <c r="H27" i="1"/>
  <c r="F27" i="1"/>
  <c r="D27" i="1"/>
  <c r="B27" i="1"/>
  <c r="EQ24" i="1"/>
  <c r="EM24" i="1"/>
  <c r="EP24" i="1" s="1"/>
  <c r="EK24" i="1"/>
  <c r="EH24" i="1"/>
  <c r="EJ24" i="1" s="1"/>
  <c r="EF24" i="1"/>
  <c r="DY24" i="1"/>
  <c r="DN24" i="1"/>
  <c r="DK24" i="1"/>
  <c r="DI24" i="1"/>
  <c r="DG24" i="1"/>
  <c r="DE24" i="1"/>
  <c r="DC24" i="1"/>
  <c r="CY24" i="1"/>
  <c r="CW24" i="1"/>
  <c r="CU24" i="1"/>
  <c r="CR24" i="1"/>
  <c r="CP24" i="1"/>
  <c r="CN24" i="1"/>
  <c r="CL24" i="1"/>
  <c r="CJ24" i="1"/>
  <c r="CH24" i="1"/>
  <c r="CF24" i="1"/>
  <c r="CD24" i="1"/>
  <c r="CB24" i="1"/>
  <c r="BZ24" i="1"/>
  <c r="BX24" i="1"/>
  <c r="BV24" i="1"/>
  <c r="BT24" i="1"/>
  <c r="BR24" i="1"/>
  <c r="BP24" i="1"/>
  <c r="BN24" i="1"/>
  <c r="BL24" i="1"/>
  <c r="BJ24" i="1"/>
  <c r="BH24" i="1"/>
  <c r="BF24" i="1"/>
  <c r="BD24" i="1"/>
  <c r="BB24" i="1"/>
  <c r="AZ24" i="1"/>
  <c r="AX24" i="1"/>
  <c r="AV24" i="1"/>
  <c r="AT24" i="1"/>
  <c r="AR24" i="1"/>
  <c r="AP24" i="1"/>
  <c r="AN24" i="1"/>
  <c r="AL24" i="1"/>
  <c r="AJ24" i="1"/>
  <c r="AH24" i="1"/>
  <c r="AF24" i="1"/>
  <c r="AD24" i="1"/>
  <c r="AB24" i="1"/>
  <c r="Z24" i="1"/>
  <c r="X24" i="1"/>
  <c r="V24" i="1"/>
  <c r="T24" i="1"/>
  <c r="R24" i="1"/>
  <c r="P24" i="1"/>
  <c r="N24" i="1"/>
  <c r="L24" i="1"/>
  <c r="J24" i="1"/>
  <c r="H24" i="1"/>
  <c r="F24" i="1"/>
  <c r="D24" i="1"/>
  <c r="B24" i="1"/>
  <c r="EQ21" i="1"/>
  <c r="EM21" i="1"/>
  <c r="EP21" i="1" s="1"/>
  <c r="EK21" i="1"/>
  <c r="EH21" i="1"/>
  <c r="EJ21" i="1" s="1"/>
  <c r="EF21" i="1"/>
  <c r="EC21" i="1"/>
  <c r="EA21" i="1"/>
  <c r="DY21" i="1"/>
  <c r="DN21" i="1"/>
  <c r="DK21" i="1"/>
  <c r="DI21" i="1"/>
  <c r="DG21" i="1"/>
  <c r="DE21" i="1"/>
  <c r="DC21" i="1"/>
  <c r="CY21" i="1"/>
  <c r="CW21" i="1"/>
  <c r="CU21" i="1"/>
  <c r="CR21" i="1"/>
  <c r="CP21" i="1"/>
  <c r="CN21" i="1"/>
  <c r="CL21" i="1"/>
  <c r="CJ21" i="1"/>
  <c r="CH21" i="1"/>
  <c r="CF21" i="1"/>
  <c r="CD21" i="1"/>
  <c r="CB21" i="1"/>
  <c r="BZ21" i="1"/>
  <c r="BX21" i="1"/>
  <c r="BV21" i="1"/>
  <c r="BT21" i="1"/>
  <c r="BR21" i="1"/>
  <c r="BP21" i="1"/>
  <c r="BN21" i="1"/>
  <c r="BL21" i="1"/>
  <c r="BJ21" i="1"/>
  <c r="BH21" i="1"/>
  <c r="BF21" i="1"/>
  <c r="BD21" i="1"/>
  <c r="BB21" i="1"/>
  <c r="AZ21" i="1"/>
  <c r="AX21" i="1"/>
  <c r="AV21" i="1"/>
  <c r="AT21" i="1"/>
  <c r="AR21" i="1"/>
  <c r="AP21" i="1"/>
  <c r="AN21" i="1"/>
  <c r="AL21" i="1"/>
  <c r="AJ21" i="1"/>
  <c r="AH21" i="1"/>
  <c r="AF21" i="1"/>
  <c r="AD21" i="1"/>
  <c r="AB21" i="1"/>
  <c r="Z21" i="1"/>
  <c r="X21" i="1"/>
  <c r="V21" i="1"/>
  <c r="T21" i="1"/>
  <c r="R21" i="1"/>
  <c r="P21" i="1"/>
  <c r="N21" i="1"/>
  <c r="L21" i="1"/>
  <c r="J21" i="1"/>
  <c r="H21" i="1"/>
  <c r="F21" i="1"/>
  <c r="D21" i="1"/>
  <c r="B21" i="1"/>
  <c r="EQ18" i="1"/>
  <c r="EM18" i="1"/>
  <c r="EP18" i="1" s="1"/>
  <c r="EK18" i="1"/>
  <c r="EH18" i="1"/>
  <c r="EJ18" i="1" s="1"/>
  <c r="EF18" i="1"/>
  <c r="EC18" i="1"/>
  <c r="EA18" i="1"/>
  <c r="DY18" i="1"/>
  <c r="DN18" i="1"/>
  <c r="DK18" i="1"/>
  <c r="DI18" i="1"/>
  <c r="DG18" i="1"/>
  <c r="DE18" i="1"/>
  <c r="DC18" i="1"/>
  <c r="CY18" i="1"/>
  <c r="CW18" i="1"/>
  <c r="CU18" i="1"/>
  <c r="EQ15" i="1"/>
  <c r="EM15" i="1"/>
  <c r="EP15" i="1" s="1"/>
  <c r="EK15" i="1"/>
  <c r="EH15" i="1"/>
  <c r="EJ15" i="1" s="1"/>
  <c r="EF15" i="1"/>
  <c r="EC15" i="1"/>
  <c r="EA15" i="1"/>
  <c r="EE15" i="1" s="1"/>
  <c r="DY15" i="1"/>
  <c r="DN15" i="1"/>
  <c r="DK15" i="1"/>
  <c r="DI15" i="1"/>
  <c r="DG15" i="1"/>
  <c r="DE15" i="1"/>
  <c r="DC15" i="1"/>
  <c r="CY15" i="1"/>
  <c r="CW15" i="1"/>
  <c r="CU15" i="1"/>
  <c r="CR15" i="1"/>
  <c r="CP15" i="1"/>
  <c r="CN15" i="1"/>
  <c r="CL15" i="1"/>
  <c r="CJ15" i="1"/>
  <c r="CH15" i="1"/>
  <c r="CF15" i="1"/>
  <c r="CD15" i="1"/>
  <c r="CB15" i="1"/>
  <c r="BZ15" i="1"/>
  <c r="BX15" i="1"/>
  <c r="BV15" i="1"/>
  <c r="BT15" i="1"/>
  <c r="BR15" i="1"/>
  <c r="BP15" i="1"/>
  <c r="BN15" i="1"/>
  <c r="BL15" i="1"/>
  <c r="BJ15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N15" i="1"/>
  <c r="L15" i="1"/>
  <c r="J15" i="1"/>
  <c r="H15" i="1"/>
  <c r="F15" i="1"/>
  <c r="D15" i="1"/>
  <c r="B15" i="1"/>
  <c r="EM9" i="1"/>
  <c r="EP9" i="1" s="1"/>
  <c r="EK9" i="1"/>
  <c r="EH9" i="1"/>
  <c r="EJ9" i="1" s="1"/>
  <c r="EF9" i="1"/>
  <c r="EC9" i="1"/>
  <c r="EA9" i="1"/>
  <c r="DY9" i="1"/>
  <c r="DN9" i="1"/>
  <c r="DK9" i="1"/>
  <c r="DI9" i="1"/>
  <c r="DG9" i="1"/>
  <c r="DE9" i="1"/>
  <c r="DC9" i="1"/>
  <c r="CY9" i="1"/>
  <c r="CW9" i="1"/>
  <c r="CU9" i="1"/>
  <c r="CR9" i="1"/>
  <c r="CP9" i="1"/>
  <c r="CN9" i="1"/>
  <c r="CL9" i="1"/>
  <c r="CJ9" i="1"/>
  <c r="CH9" i="1"/>
  <c r="CF9" i="1"/>
  <c r="CD9" i="1"/>
  <c r="CB9" i="1"/>
  <c r="BZ9" i="1"/>
  <c r="BX9" i="1"/>
  <c r="BV9" i="1"/>
  <c r="BT9" i="1"/>
  <c r="BR9" i="1"/>
  <c r="BP9" i="1"/>
  <c r="BN9" i="1"/>
  <c r="BL9" i="1"/>
  <c r="BJ9" i="1"/>
  <c r="BH9" i="1"/>
  <c r="BF9" i="1"/>
  <c r="BD9" i="1"/>
  <c r="BB9" i="1"/>
  <c r="AZ9" i="1"/>
  <c r="AX9" i="1"/>
  <c r="AV9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L9" i="1"/>
  <c r="J9" i="1"/>
  <c r="H9" i="1"/>
  <c r="F9" i="1"/>
  <c r="D9" i="1"/>
  <c r="B9" i="1"/>
  <c r="CU6" i="1"/>
  <c r="CW6" i="1"/>
  <c r="CY6" i="1"/>
  <c r="DA6" i="1"/>
  <c r="DA9" i="1" s="1"/>
  <c r="DA12" i="1" s="1"/>
  <c r="DC6" i="1"/>
  <c r="DE6" i="1"/>
  <c r="DG6" i="1"/>
  <c r="DI6" i="1"/>
  <c r="DK6" i="1"/>
  <c r="DN6" i="1"/>
  <c r="DP6" i="1"/>
  <c r="DR6" i="1"/>
  <c r="DT6" i="1"/>
  <c r="DV6" i="1"/>
  <c r="DV9" i="1" s="1"/>
  <c r="DV12" i="1" s="1"/>
  <c r="DV15" i="1" s="1"/>
  <c r="DV18" i="1" s="1"/>
  <c r="DV21" i="1" s="1"/>
  <c r="DV24" i="1" s="1"/>
  <c r="DV27" i="1" s="1"/>
  <c r="DV30" i="1" s="1"/>
  <c r="DV33" i="1" s="1"/>
  <c r="DV36" i="1" s="1"/>
  <c r="DV39" i="1" s="1"/>
  <c r="DV42" i="1" s="1"/>
  <c r="DV45" i="1" s="1"/>
  <c r="DV48" i="1" s="1"/>
  <c r="DY6" i="1"/>
  <c r="EA6" i="1"/>
  <c r="EC6" i="1"/>
  <c r="EF6" i="1"/>
  <c r="EH6" i="1"/>
  <c r="EJ6" i="1" s="1"/>
  <c r="EK6" i="1"/>
  <c r="EM6" i="1"/>
  <c r="EP6" i="1" s="1"/>
  <c r="EM12" i="1"/>
  <c r="EH12" i="1"/>
  <c r="EC12" i="1"/>
  <c r="EA12" i="1"/>
  <c r="DK12" i="1"/>
  <c r="DI12" i="1"/>
  <c r="DG12" i="1"/>
  <c r="DE12" i="1"/>
  <c r="DC12" i="1"/>
  <c r="CY12" i="1"/>
  <c r="CW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BR12" i="1"/>
  <c r="BP12" i="1"/>
  <c r="BN12" i="1"/>
  <c r="BL12" i="1"/>
  <c r="BJ12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L12" i="1"/>
  <c r="J12" i="1"/>
  <c r="H12" i="1"/>
  <c r="F12" i="1"/>
  <c r="D12" i="1"/>
  <c r="B12" i="1"/>
  <c r="DX6" i="1" l="1"/>
  <c r="EE33" i="1"/>
  <c r="EE24" i="1"/>
  <c r="EE39" i="1"/>
  <c r="EE6" i="1"/>
  <c r="EE36" i="1"/>
  <c r="EE9" i="1"/>
  <c r="EE21" i="1"/>
  <c r="CT30" i="1"/>
  <c r="CV30" i="1" s="1"/>
  <c r="EE18" i="1"/>
  <c r="CT48" i="1"/>
  <c r="CV48" i="1" s="1"/>
  <c r="CT45" i="1"/>
  <c r="CV45" i="1" s="1"/>
  <c r="EE42" i="1"/>
  <c r="CT39" i="1"/>
  <c r="CV39" i="1" s="1"/>
  <c r="CT6" i="1"/>
  <c r="CV6" i="1" s="1"/>
  <c r="DM6" i="1"/>
  <c r="CT42" i="1"/>
  <c r="CV42" i="1" s="1"/>
  <c r="CT36" i="1"/>
  <c r="CV36" i="1" s="1"/>
  <c r="CT33" i="1"/>
  <c r="CV33" i="1" s="1"/>
  <c r="EE30" i="1"/>
  <c r="CT27" i="1"/>
  <c r="CV27" i="1" s="1"/>
  <c r="EE27" i="1"/>
  <c r="CT24" i="1"/>
  <c r="CV24" i="1" s="1"/>
  <c r="CT21" i="1"/>
  <c r="CV21" i="1" s="1"/>
  <c r="CT18" i="1"/>
  <c r="CV18" i="1" s="1"/>
  <c r="CT15" i="1"/>
  <c r="CV15" i="1" s="1"/>
  <c r="DM9" i="1"/>
  <c r="CT9" i="1"/>
  <c r="CV9" i="1" s="1"/>
  <c r="DX9" i="1"/>
  <c r="EP12" i="1"/>
  <c r="EK12" i="1"/>
  <c r="EJ12" i="1"/>
  <c r="EF12" i="1"/>
  <c r="DY12" i="1"/>
  <c r="DN12" i="1"/>
  <c r="CU12" i="1"/>
  <c r="DX48" i="1"/>
  <c r="DA15" i="1"/>
  <c r="DA18" i="1" s="1"/>
  <c r="DO6" i="1" l="1"/>
  <c r="DZ6" i="1" s="1"/>
  <c r="EG6" i="1" s="1"/>
  <c r="EL6" i="1" s="1"/>
  <c r="ER6" i="1" s="1"/>
  <c r="DO9" i="1"/>
  <c r="DZ9" i="1" s="1"/>
  <c r="EG9" i="1" s="1"/>
  <c r="EL9" i="1" s="1"/>
  <c r="ER9" i="1" s="1"/>
  <c r="DX24" i="1"/>
  <c r="DX30" i="1"/>
  <c r="DM15" i="1"/>
  <c r="DO15" i="1" s="1"/>
  <c r="DA21" i="1"/>
  <c r="DM18" i="1"/>
  <c r="DO18" i="1" s="1"/>
  <c r="DX45" i="1"/>
  <c r="DX39" i="1"/>
  <c r="DX15" i="1"/>
  <c r="DX21" i="1"/>
  <c r="DX33" i="1"/>
  <c r="DX27" i="1"/>
  <c r="DX36" i="1"/>
  <c r="DX42" i="1"/>
  <c r="DX18" i="1"/>
  <c r="EE12" i="1"/>
  <c r="DX12" i="1"/>
  <c r="DM12" i="1"/>
  <c r="CT12" i="1"/>
  <c r="CV12" i="1" s="1"/>
  <c r="DZ18" i="1" l="1"/>
  <c r="EG18" i="1" s="1"/>
  <c r="EL18" i="1" s="1"/>
  <c r="ER18" i="1" s="1"/>
  <c r="DA24" i="1"/>
  <c r="DM21" i="1"/>
  <c r="DO21" i="1" s="1"/>
  <c r="DZ21" i="1" s="1"/>
  <c r="EG21" i="1" s="1"/>
  <c r="EL21" i="1" s="1"/>
  <c r="ER21" i="1" s="1"/>
  <c r="DZ15" i="1"/>
  <c r="EG15" i="1" s="1"/>
  <c r="EL15" i="1" s="1"/>
  <c r="ER15" i="1" s="1"/>
  <c r="DO12" i="1"/>
  <c r="DZ12" i="1" s="1"/>
  <c r="EG12" i="1" s="1"/>
  <c r="EL12" i="1" s="1"/>
  <c r="ER12" i="1" s="1"/>
  <c r="DA27" i="1" l="1"/>
  <c r="DM24" i="1"/>
  <c r="DO24" i="1" s="1"/>
  <c r="DZ24" i="1" s="1"/>
  <c r="EG24" i="1" s="1"/>
  <c r="EL24" i="1" s="1"/>
  <c r="ER24" i="1" s="1"/>
  <c r="DA30" i="1" l="1"/>
  <c r="DA33" i="1" s="1"/>
  <c r="DA36" i="1" s="1"/>
  <c r="DM27" i="1"/>
  <c r="DO27" i="1" s="1"/>
  <c r="DZ27" i="1" s="1"/>
  <c r="EG27" i="1" s="1"/>
  <c r="EL27" i="1" s="1"/>
  <c r="ER27" i="1" s="1"/>
  <c r="DM30" i="1" l="1"/>
  <c r="DO30" i="1" s="1"/>
  <c r="DZ30" i="1" s="1"/>
  <c r="EG30" i="1" s="1"/>
  <c r="EL30" i="1" s="1"/>
  <c r="ER30" i="1" s="1"/>
  <c r="DM33" i="1" l="1"/>
  <c r="DO33" i="1" s="1"/>
  <c r="DZ33" i="1" s="1"/>
  <c r="EG33" i="1" s="1"/>
  <c r="EL33" i="1" s="1"/>
  <c r="ER33" i="1" s="1"/>
  <c r="DM36" i="1" l="1"/>
  <c r="DO36" i="1" s="1"/>
  <c r="DZ36" i="1" s="1"/>
  <c r="EG36" i="1" s="1"/>
  <c r="EL36" i="1" s="1"/>
  <c r="ER36" i="1" s="1"/>
  <c r="DA39" i="1"/>
  <c r="DM39" i="1" l="1"/>
  <c r="DO39" i="1" s="1"/>
  <c r="DZ39" i="1" s="1"/>
  <c r="EG39" i="1" s="1"/>
  <c r="EL39" i="1" s="1"/>
  <c r="ER39" i="1" s="1"/>
  <c r="DA42" i="1"/>
  <c r="DM42" i="1" l="1"/>
  <c r="DO42" i="1" s="1"/>
  <c r="DZ42" i="1" s="1"/>
  <c r="EG42" i="1" s="1"/>
  <c r="EL42" i="1" s="1"/>
  <c r="ER42" i="1" s="1"/>
  <c r="DA45" i="1"/>
  <c r="DM45" i="1" l="1"/>
  <c r="DO45" i="1" s="1"/>
  <c r="DZ45" i="1" s="1"/>
  <c r="EG45" i="1" s="1"/>
  <c r="EL45" i="1" s="1"/>
  <c r="ER45" i="1" s="1"/>
  <c r="DA48" i="1"/>
  <c r="DM48" i="1" s="1"/>
  <c r="DO48" i="1" s="1"/>
  <c r="DZ48" i="1" s="1"/>
  <c r="EG48" i="1" s="1"/>
  <c r="EL48" i="1" s="1"/>
  <c r="ER48" i="1" s="1"/>
</calcChain>
</file>

<file path=xl/sharedStrings.xml><?xml version="1.0" encoding="utf-8"?>
<sst xmlns="http://schemas.openxmlformats.org/spreadsheetml/2006/main" count="632" uniqueCount="63">
  <si>
    <t>G  r  o  u  p     S  t  a  g  e</t>
  </si>
  <si>
    <t>R  o  u  n  d      o  f      16</t>
  </si>
  <si>
    <t>Quaterfinals</t>
  </si>
  <si>
    <t>Semis</t>
  </si>
  <si>
    <t>3rd</t>
  </si>
  <si>
    <t>1st</t>
  </si>
  <si>
    <t>World Champion</t>
  </si>
  <si>
    <t>Rus</t>
  </si>
  <si>
    <t>Sau</t>
  </si>
  <si>
    <t>Egy</t>
  </si>
  <si>
    <t>Uru</t>
  </si>
  <si>
    <t>Por</t>
  </si>
  <si>
    <t>Spa</t>
  </si>
  <si>
    <t>Mor</t>
  </si>
  <si>
    <t>Ira</t>
  </si>
  <si>
    <t>Fra</t>
  </si>
  <si>
    <t>Aus</t>
  </si>
  <si>
    <t>Per</t>
  </si>
  <si>
    <t>Den</t>
  </si>
  <si>
    <t>Arg</t>
  </si>
  <si>
    <t>Ice</t>
  </si>
  <si>
    <t>Cro</t>
  </si>
  <si>
    <t>Nig</t>
  </si>
  <si>
    <t>Bra</t>
  </si>
  <si>
    <t>Swi</t>
  </si>
  <si>
    <t>Cos</t>
  </si>
  <si>
    <t>Ser</t>
  </si>
  <si>
    <t>Ger</t>
  </si>
  <si>
    <t>Mex</t>
  </si>
  <si>
    <t>Swe</t>
  </si>
  <si>
    <t>Kor</t>
  </si>
  <si>
    <t>Bel</t>
  </si>
  <si>
    <t>Pan</t>
  </si>
  <si>
    <t>Tun</t>
  </si>
  <si>
    <t>Eng</t>
  </si>
  <si>
    <t>Pol</t>
  </si>
  <si>
    <t>Sen</t>
  </si>
  <si>
    <t>Col</t>
  </si>
  <si>
    <t>Jap</t>
  </si>
  <si>
    <t>Result</t>
  </si>
  <si>
    <t>Sub-Total</t>
  </si>
  <si>
    <t>Bonus</t>
  </si>
  <si>
    <t>Total</t>
  </si>
  <si>
    <t>Spain</t>
  </si>
  <si>
    <t>Brazil</t>
  </si>
  <si>
    <t>Fernando Gonzalez</t>
  </si>
  <si>
    <t>Germany</t>
  </si>
  <si>
    <t>Umberto 1</t>
  </si>
  <si>
    <t>Umberto 2</t>
  </si>
  <si>
    <t>Carlos</t>
  </si>
  <si>
    <t>Uruguay</t>
  </si>
  <si>
    <t>Aladdin 1</t>
  </si>
  <si>
    <t>Aladdin 2</t>
  </si>
  <si>
    <t>Eshetu</t>
  </si>
  <si>
    <t>Aubrey</t>
  </si>
  <si>
    <t>Gabriel</t>
  </si>
  <si>
    <t>Ricardo</t>
  </si>
  <si>
    <t>Vu Ha</t>
  </si>
  <si>
    <t>Alejandro</t>
  </si>
  <si>
    <t>Argentina</t>
  </si>
  <si>
    <t>Maria Alejandra Bravo</t>
  </si>
  <si>
    <t>Miguel Silva</t>
  </si>
  <si>
    <t>Zuralmy 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</si>
</sst>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Trebuchet MS"/>
      <family val="2"/>
    </font>
    <font>
      <b/>
      <sz val="12"/>
      <color indexed="62"/>
      <name val="Trebuchet MS"/>
      <family val="2"/>
    </font>
    <font>
      <b/>
      <sz val="10"/>
      <color indexed="62"/>
      <name val="Trebuchet MS"/>
      <family val="2"/>
    </font>
    <font>
      <b/>
      <sz val="10"/>
      <name val="Trebuchet MS"/>
      <family val="2"/>
    </font>
    <font>
      <b/>
      <sz val="10"/>
      <color rgb="FFFF0000"/>
      <name val="Trebuchet MS"/>
      <family val="2"/>
    </font>
    <font>
      <sz val="10"/>
      <color rgb="FFFF0000"/>
      <name val="Trebuchet MS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/>
  </cellStyleXfs>
  <cellXfs count="194">
    <xf numFmtId="0" fontId="0" fillId="0" borderId="0" xfId="0"/>
    <xf numFmtId="0" fontId="2" fillId="3" borderId="0" xfId="0" applyFont="1" applyFill="1" applyAlignment="1" applyProtection="1">
      <alignment horizontal="center"/>
      <protection hidden="1"/>
    </xf>
    <xf numFmtId="0" fontId="1" fillId="0" borderId="4" xfId="1" applyFill="1" applyBorder="1" applyAlignment="1" applyProtection="1">
      <alignment horizontal="center"/>
      <protection hidden="1"/>
    </xf>
    <xf numFmtId="0" fontId="1" fillId="0" borderId="10" xfId="1" applyFill="1" applyBorder="1" applyAlignment="1" applyProtection="1">
      <alignment horizontal="center"/>
      <protection hidden="1"/>
    </xf>
    <xf numFmtId="0" fontId="1" fillId="0" borderId="11" xfId="1" applyFill="1" applyBorder="1" applyAlignment="1" applyProtection="1">
      <alignment horizontal="center"/>
      <protection hidden="1"/>
    </xf>
    <xf numFmtId="0" fontId="1" fillId="0" borderId="18" xfId="1" applyFill="1" applyBorder="1" applyAlignment="1" applyProtection="1">
      <alignment horizontal="center"/>
      <protection hidden="1"/>
    </xf>
    <xf numFmtId="0" fontId="1" fillId="0" borderId="13" xfId="1" applyFill="1" applyBorder="1" applyAlignment="1" applyProtection="1">
      <alignment horizontal="center"/>
      <protection hidden="1"/>
    </xf>
    <xf numFmtId="0" fontId="6" fillId="10" borderId="21" xfId="0" applyFont="1" applyFill="1" applyBorder="1" applyAlignment="1" applyProtection="1">
      <alignment horizontal="center"/>
      <protection hidden="1"/>
    </xf>
    <xf numFmtId="0" fontId="6" fillId="10" borderId="14" xfId="0" applyFont="1" applyFill="1" applyBorder="1" applyAlignment="1" applyProtection="1">
      <alignment horizontal="center"/>
      <protection hidden="1"/>
    </xf>
    <xf numFmtId="0" fontId="6" fillId="10" borderId="1" xfId="0" applyFont="1" applyFill="1" applyBorder="1" applyAlignment="1" applyProtection="1">
      <alignment horizontal="center"/>
      <protection hidden="1"/>
    </xf>
    <xf numFmtId="0" fontId="6" fillId="10" borderId="25" xfId="0" applyFont="1" applyFill="1" applyBorder="1" applyAlignment="1" applyProtection="1">
      <alignment horizontal="center"/>
      <protection hidden="1"/>
    </xf>
    <xf numFmtId="0" fontId="6" fillId="10" borderId="27" xfId="0" applyFont="1" applyFill="1" applyBorder="1" applyAlignment="1" applyProtection="1">
      <alignment horizontal="center"/>
      <protection hidden="1"/>
    </xf>
    <xf numFmtId="0" fontId="6" fillId="10" borderId="28" xfId="0" applyFont="1" applyFill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  <protection hidden="1"/>
    </xf>
    <xf numFmtId="0" fontId="6" fillId="10" borderId="6" xfId="0" applyFont="1" applyFill="1" applyBorder="1" applyAlignment="1" applyProtection="1">
      <alignment horizontal="center"/>
      <protection hidden="1"/>
    </xf>
    <xf numFmtId="0" fontId="6" fillId="10" borderId="8" xfId="0" applyFont="1" applyFill="1" applyBorder="1" applyAlignment="1" applyProtection="1">
      <alignment horizontal="center"/>
      <protection hidden="1"/>
    </xf>
    <xf numFmtId="0" fontId="6" fillId="10" borderId="30" xfId="0" applyFont="1" applyFill="1" applyBorder="1" applyAlignment="1" applyProtection="1">
      <alignment horizontal="center"/>
      <protection hidden="1"/>
    </xf>
    <xf numFmtId="0" fontId="6" fillId="10" borderId="22" xfId="0" applyFont="1" applyFill="1" applyBorder="1" applyAlignment="1" applyProtection="1">
      <alignment horizontal="center"/>
      <protection hidden="1"/>
    </xf>
    <xf numFmtId="0" fontId="6" fillId="10" borderId="19" xfId="0" applyFont="1" applyFill="1" applyBorder="1" applyAlignment="1" applyProtection="1">
      <alignment horizontal="center"/>
      <protection hidden="1"/>
    </xf>
    <xf numFmtId="0" fontId="6" fillId="10" borderId="26" xfId="0" applyFont="1" applyFill="1" applyBorder="1" applyAlignment="1" applyProtection="1">
      <alignment horizontal="center"/>
      <protection hidden="1"/>
    </xf>
    <xf numFmtId="0" fontId="6" fillId="10" borderId="16" xfId="0" applyFont="1" applyFill="1" applyBorder="1" applyAlignment="1" applyProtection="1">
      <alignment horizontal="center"/>
      <protection hidden="1"/>
    </xf>
    <xf numFmtId="0" fontId="6" fillId="10" borderId="20" xfId="0" applyFont="1" applyFill="1" applyBorder="1" applyAlignment="1" applyProtection="1">
      <alignment horizontal="center"/>
      <protection hidden="1"/>
    </xf>
    <xf numFmtId="0" fontId="6" fillId="10" borderId="23" xfId="0" applyFont="1" applyFill="1" applyBorder="1" applyAlignment="1" applyProtection="1">
      <alignment horizontal="center"/>
      <protection hidden="1"/>
    </xf>
    <xf numFmtId="0" fontId="6" fillId="10" borderId="24" xfId="0" applyFont="1" applyFill="1" applyBorder="1" applyAlignment="1" applyProtection="1">
      <alignment horizontal="center"/>
      <protection hidden="1"/>
    </xf>
    <xf numFmtId="0" fontId="6" fillId="10" borderId="33" xfId="0" applyFont="1" applyFill="1" applyBorder="1" applyAlignment="1" applyProtection="1">
      <alignment horizontal="center"/>
      <protection hidden="1"/>
    </xf>
    <xf numFmtId="0" fontId="6" fillId="10" borderId="35" xfId="0" applyFont="1" applyFill="1" applyBorder="1" applyAlignment="1" applyProtection="1">
      <alignment horizontal="center"/>
      <protection hidden="1"/>
    </xf>
    <xf numFmtId="0" fontId="6" fillId="10" borderId="36" xfId="0" applyFont="1" applyFill="1" applyBorder="1" applyAlignment="1" applyProtection="1">
      <alignment horizontal="center"/>
      <protection hidden="1"/>
    </xf>
    <xf numFmtId="0" fontId="6" fillId="10" borderId="37" xfId="0" applyFont="1" applyFill="1" applyBorder="1" applyAlignment="1" applyProtection="1">
      <alignment horizontal="center"/>
      <protection hidden="1"/>
    </xf>
    <xf numFmtId="0" fontId="3" fillId="11" borderId="2" xfId="0" applyFont="1" applyFill="1" applyBorder="1" applyAlignment="1" applyProtection="1">
      <alignment horizontal="center"/>
      <protection hidden="1"/>
    </xf>
    <xf numFmtId="0" fontId="6" fillId="10" borderId="38" xfId="0" applyFont="1" applyFill="1" applyBorder="1" applyAlignment="1" applyProtection="1">
      <alignment horizontal="center"/>
      <protection hidden="1"/>
    </xf>
    <xf numFmtId="0" fontId="6" fillId="10" borderId="39" xfId="0" applyFont="1" applyFill="1" applyBorder="1" applyAlignment="1" applyProtection="1">
      <alignment horizontal="center"/>
      <protection hidden="1"/>
    </xf>
    <xf numFmtId="0" fontId="6" fillId="10" borderId="0" xfId="0" applyFont="1" applyFill="1" applyBorder="1" applyAlignment="1" applyProtection="1">
      <alignment horizontal="center"/>
      <protection hidden="1"/>
    </xf>
    <xf numFmtId="0" fontId="6" fillId="10" borderId="41" xfId="0" applyFont="1" applyFill="1" applyBorder="1" applyAlignment="1" applyProtection="1">
      <alignment horizontal="center"/>
      <protection hidden="1"/>
    </xf>
    <xf numFmtId="0" fontId="6" fillId="10" borderId="42" xfId="0" applyFont="1" applyFill="1" applyBorder="1" applyAlignment="1" applyProtection="1">
      <alignment horizontal="center"/>
      <protection hidden="1"/>
    </xf>
    <xf numFmtId="0" fontId="6" fillId="6" borderId="31" xfId="0" applyFont="1" applyFill="1" applyBorder="1" applyAlignment="1" applyProtection="1">
      <alignment horizontal="center" textRotation="90"/>
      <protection locked="0"/>
    </xf>
    <xf numFmtId="0" fontId="6" fillId="6" borderId="32" xfId="0" applyFont="1" applyFill="1" applyBorder="1" applyAlignment="1" applyProtection="1">
      <alignment horizontal="center" textRotation="90"/>
      <protection locked="0"/>
    </xf>
    <xf numFmtId="0" fontId="6" fillId="10" borderId="12" xfId="0" applyFont="1" applyFill="1" applyBorder="1" applyAlignment="1" applyProtection="1">
      <alignment horizontal="center"/>
      <protection hidden="1"/>
    </xf>
    <xf numFmtId="0" fontId="6" fillId="7" borderId="23" xfId="0" applyFont="1" applyFill="1" applyBorder="1" applyAlignment="1" applyProtection="1">
      <alignment horizontal="center" textRotation="90"/>
      <protection locked="0"/>
    </xf>
    <xf numFmtId="0" fontId="6" fillId="7" borderId="24" xfId="0" applyFont="1" applyFill="1" applyBorder="1" applyAlignment="1" applyProtection="1">
      <alignment horizontal="center" textRotation="90"/>
      <protection locked="0"/>
    </xf>
    <xf numFmtId="0" fontId="5" fillId="9" borderId="44" xfId="0" applyFont="1" applyFill="1" applyBorder="1" applyAlignment="1" applyProtection="1">
      <alignment horizontal="center"/>
      <protection hidden="1"/>
    </xf>
    <xf numFmtId="0" fontId="6" fillId="9" borderId="45" xfId="0" applyFont="1" applyFill="1" applyBorder="1" applyAlignment="1" applyProtection="1">
      <alignment horizontal="center" textRotation="90"/>
      <protection locked="0"/>
    </xf>
    <xf numFmtId="0" fontId="6" fillId="3" borderId="31" xfId="0" applyFont="1" applyFill="1" applyBorder="1" applyAlignment="1" applyProtection="1">
      <alignment horizontal="center" textRotation="90"/>
      <protection locked="0"/>
    </xf>
    <xf numFmtId="0" fontId="2" fillId="0" borderId="4" xfId="0" applyFont="1" applyFill="1" applyBorder="1" applyAlignment="1" applyProtection="1">
      <alignment horizontal="center"/>
      <protection hidden="1"/>
    </xf>
    <xf numFmtId="0" fontId="8" fillId="0" borderId="10" xfId="1" applyFont="1" applyFill="1" applyBorder="1" applyAlignment="1" applyProtection="1">
      <alignment horizontal="center"/>
      <protection hidden="1"/>
    </xf>
    <xf numFmtId="0" fontId="8" fillId="0" borderId="11" xfId="1" applyFont="1" applyFill="1" applyBorder="1" applyAlignment="1" applyProtection="1">
      <alignment horizontal="center"/>
      <protection hidden="1"/>
    </xf>
    <xf numFmtId="0" fontId="8" fillId="0" borderId="18" xfId="1" applyFont="1" applyFill="1" applyBorder="1" applyAlignment="1" applyProtection="1">
      <alignment horizontal="center"/>
      <protection hidden="1"/>
    </xf>
    <xf numFmtId="0" fontId="8" fillId="0" borderId="13" xfId="1" applyFont="1" applyFill="1" applyBorder="1" applyAlignment="1" applyProtection="1">
      <alignment horizontal="center"/>
      <protection hidden="1"/>
    </xf>
    <xf numFmtId="0" fontId="6" fillId="10" borderId="46" xfId="0" applyFont="1" applyFill="1" applyBorder="1" applyAlignment="1" applyProtection="1">
      <alignment horizontal="center"/>
      <protection hidden="1"/>
    </xf>
    <xf numFmtId="0" fontId="6" fillId="10" borderId="47" xfId="0" applyFont="1" applyFill="1" applyBorder="1" applyAlignment="1" applyProtection="1">
      <alignment horizontal="center"/>
      <protection hidden="1"/>
    </xf>
    <xf numFmtId="0" fontId="6" fillId="10" borderId="10" xfId="0" applyFont="1" applyFill="1" applyBorder="1" applyAlignment="1" applyProtection="1">
      <alignment horizontal="center"/>
      <protection hidden="1"/>
    </xf>
    <xf numFmtId="0" fontId="2" fillId="0" borderId="17" xfId="0" applyFont="1" applyFill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49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5" fillId="9" borderId="48" xfId="0" applyFont="1" applyFill="1" applyBorder="1" applyAlignment="1" applyProtection="1">
      <alignment horizontal="center" vertical="center"/>
      <protection hidden="1"/>
    </xf>
    <xf numFmtId="0" fontId="5" fillId="8" borderId="5" xfId="0" applyFont="1" applyFill="1" applyBorder="1" applyAlignment="1" applyProtection="1">
      <alignment horizontal="center" textRotation="90"/>
      <protection hidden="1"/>
    </xf>
    <xf numFmtId="0" fontId="5" fillId="8" borderId="49" xfId="0" applyFont="1" applyFill="1" applyBorder="1" applyAlignment="1" applyProtection="1">
      <alignment horizontal="center" textRotation="90"/>
      <protection hidden="1"/>
    </xf>
    <xf numFmtId="0" fontId="5" fillId="3" borderId="5" xfId="0" applyFont="1" applyFill="1" applyBorder="1" applyAlignment="1" applyProtection="1">
      <alignment horizontal="center" textRotation="90"/>
      <protection hidden="1"/>
    </xf>
    <xf numFmtId="0" fontId="5" fillId="3" borderId="49" xfId="0" applyFont="1" applyFill="1" applyBorder="1" applyAlignment="1" applyProtection="1">
      <alignment horizontal="center" textRotation="90"/>
      <protection hidden="1"/>
    </xf>
    <xf numFmtId="0" fontId="5" fillId="7" borderId="5" xfId="0" applyFont="1" applyFill="1" applyBorder="1" applyAlignment="1" applyProtection="1">
      <alignment horizontal="center" textRotation="90"/>
      <protection hidden="1"/>
    </xf>
    <xf numFmtId="0" fontId="5" fillId="7" borderId="49" xfId="0" applyFont="1" applyFill="1" applyBorder="1" applyAlignment="1" applyProtection="1">
      <alignment horizontal="center" textRotation="90"/>
      <protection hidden="1"/>
    </xf>
    <xf numFmtId="0" fontId="5" fillId="7" borderId="4" xfId="0" applyFont="1" applyFill="1" applyBorder="1" applyAlignment="1" applyProtection="1">
      <alignment horizontal="center" textRotation="90"/>
      <protection hidden="1"/>
    </xf>
    <xf numFmtId="0" fontId="5" fillId="6" borderId="4" xfId="0" applyFont="1" applyFill="1" applyBorder="1" applyAlignment="1" applyProtection="1">
      <alignment horizontal="center" textRotation="90"/>
      <protection hidden="1"/>
    </xf>
    <xf numFmtId="0" fontId="5" fillId="6" borderId="49" xfId="0" applyFont="1" applyFill="1" applyBorder="1" applyAlignment="1" applyProtection="1">
      <alignment horizontal="center" textRotation="90"/>
      <protection hidden="1"/>
    </xf>
    <xf numFmtId="0" fontId="5" fillId="6" borderId="5" xfId="0" applyFont="1" applyFill="1" applyBorder="1" applyAlignment="1" applyProtection="1">
      <alignment horizontal="center" textRotation="90"/>
      <protection hidden="1"/>
    </xf>
    <xf numFmtId="0" fontId="5" fillId="5" borderId="5" xfId="0" applyFont="1" applyFill="1" applyBorder="1" applyAlignment="1" applyProtection="1">
      <alignment horizontal="center" textRotation="90"/>
      <protection hidden="1"/>
    </xf>
    <xf numFmtId="0" fontId="5" fillId="5" borderId="49" xfId="0" applyFont="1" applyFill="1" applyBorder="1" applyAlignment="1" applyProtection="1">
      <alignment horizontal="center" textRotation="90"/>
      <protection hidden="1"/>
    </xf>
    <xf numFmtId="0" fontId="5" fillId="5" borderId="4" xfId="0" applyFont="1" applyFill="1" applyBorder="1" applyAlignment="1" applyProtection="1">
      <alignment horizontal="center" textRotation="90"/>
      <protection hidden="1"/>
    </xf>
    <xf numFmtId="0" fontId="5" fillId="5" borderId="4" xfId="2" applyFont="1" applyFill="1" applyBorder="1" applyAlignment="1" applyProtection="1">
      <alignment horizontal="center" textRotation="90"/>
      <protection hidden="1"/>
    </xf>
    <xf numFmtId="0" fontId="5" fillId="5" borderId="49" xfId="2" applyFont="1" applyFill="1" applyBorder="1" applyAlignment="1" applyProtection="1">
      <alignment horizontal="center" textRotation="90"/>
      <protection hidden="1"/>
    </xf>
    <xf numFmtId="0" fontId="5" fillId="5" borderId="5" xfId="2" applyFont="1" applyFill="1" applyBorder="1" applyAlignment="1" applyProtection="1">
      <alignment horizontal="center" textRotation="90"/>
      <protection hidden="1"/>
    </xf>
    <xf numFmtId="0" fontId="5" fillId="6" borderId="4" xfId="2" applyFont="1" applyFill="1" applyBorder="1" applyAlignment="1" applyProtection="1">
      <alignment horizontal="center" textRotation="90"/>
      <protection hidden="1"/>
    </xf>
    <xf numFmtId="0" fontId="5" fillId="6" borderId="49" xfId="2" applyFont="1" applyFill="1" applyBorder="1" applyAlignment="1" applyProtection="1">
      <alignment horizontal="center" textRotation="90"/>
      <protection hidden="1"/>
    </xf>
    <xf numFmtId="0" fontId="5" fillId="6" borderId="5" xfId="2" applyFont="1" applyFill="1" applyBorder="1" applyAlignment="1" applyProtection="1">
      <alignment horizontal="center" textRotation="90"/>
      <protection hidden="1"/>
    </xf>
    <xf numFmtId="0" fontId="5" fillId="7" borderId="5" xfId="2" applyFont="1" applyFill="1" applyBorder="1" applyAlignment="1" applyProtection="1">
      <alignment horizontal="center" textRotation="90"/>
      <protection hidden="1"/>
    </xf>
    <xf numFmtId="0" fontId="5" fillId="7" borderId="49" xfId="2" applyFont="1" applyFill="1" applyBorder="1" applyAlignment="1" applyProtection="1">
      <alignment horizontal="center" textRotation="90"/>
      <protection hidden="1"/>
    </xf>
    <xf numFmtId="0" fontId="5" fillId="7" borderId="4" xfId="2" applyFont="1" applyFill="1" applyBorder="1" applyAlignment="1" applyProtection="1">
      <alignment horizontal="center" textRotation="90"/>
      <protection hidden="1"/>
    </xf>
    <xf numFmtId="0" fontId="5" fillId="3" borderId="5" xfId="2" applyFont="1" applyFill="1" applyBorder="1" applyAlignment="1" applyProtection="1">
      <alignment horizontal="center" textRotation="90"/>
      <protection hidden="1"/>
    </xf>
    <xf numFmtId="0" fontId="5" fillId="3" borderId="49" xfId="2" applyFont="1" applyFill="1" applyBorder="1" applyAlignment="1" applyProtection="1">
      <alignment horizontal="center" textRotation="90"/>
      <protection hidden="1"/>
    </xf>
    <xf numFmtId="0" fontId="5" fillId="8" borderId="5" xfId="2" applyFont="1" applyFill="1" applyBorder="1" applyAlignment="1" applyProtection="1">
      <alignment horizontal="center" textRotation="90"/>
      <protection hidden="1"/>
    </xf>
    <xf numFmtId="0" fontId="5" fillId="8" borderId="49" xfId="2" applyFont="1" applyFill="1" applyBorder="1" applyAlignment="1" applyProtection="1">
      <alignment horizontal="center" textRotation="90"/>
      <protection hidden="1"/>
    </xf>
    <xf numFmtId="0" fontId="5" fillId="9" borderId="48" xfId="2" applyFont="1" applyFill="1" applyBorder="1" applyAlignment="1" applyProtection="1">
      <alignment horizontal="center" vertical="center"/>
      <protection hidden="1"/>
    </xf>
    <xf numFmtId="0" fontId="2" fillId="0" borderId="4" xfId="2" applyFont="1" applyBorder="1" applyAlignment="1" applyProtection="1">
      <alignment horizontal="center"/>
      <protection hidden="1"/>
    </xf>
    <xf numFmtId="0" fontId="2" fillId="0" borderId="49" xfId="2" applyFont="1" applyBorder="1" applyAlignment="1" applyProtection="1">
      <alignment horizontal="center"/>
      <protection hidden="1"/>
    </xf>
    <xf numFmtId="0" fontId="2" fillId="0" borderId="10" xfId="2" applyFont="1" applyBorder="1" applyAlignment="1" applyProtection="1">
      <alignment horizontal="center"/>
      <protection hidden="1"/>
    </xf>
    <xf numFmtId="0" fontId="2" fillId="0" borderId="11" xfId="2" applyFont="1" applyBorder="1" applyAlignment="1" applyProtection="1">
      <alignment horizontal="center"/>
      <protection hidden="1"/>
    </xf>
    <xf numFmtId="0" fontId="2" fillId="0" borderId="12" xfId="2" applyFont="1" applyBorder="1" applyAlignment="1" applyProtection="1">
      <alignment horizontal="center"/>
      <protection hidden="1"/>
    </xf>
    <xf numFmtId="0" fontId="2" fillId="0" borderId="13" xfId="2" applyFont="1" applyBorder="1" applyAlignment="1" applyProtection="1">
      <alignment horizontal="center"/>
      <protection hidden="1"/>
    </xf>
    <xf numFmtId="0" fontId="2" fillId="0" borderId="5" xfId="2" applyFont="1" applyBorder="1" applyAlignment="1" applyProtection="1">
      <alignment horizontal="center"/>
      <protection hidden="1"/>
    </xf>
    <xf numFmtId="0" fontId="2" fillId="0" borderId="14" xfId="2" applyFont="1" applyBorder="1" applyAlignment="1" applyProtection="1">
      <alignment horizontal="center"/>
      <protection hidden="1"/>
    </xf>
    <xf numFmtId="0" fontId="2" fillId="0" borderId="15" xfId="2" applyFont="1" applyBorder="1" applyAlignment="1" applyProtection="1">
      <alignment horizontal="center"/>
      <protection hidden="1"/>
    </xf>
    <xf numFmtId="0" fontId="2" fillId="0" borderId="16" xfId="2" applyFont="1" applyBorder="1" applyAlignment="1" applyProtection="1">
      <alignment horizontal="center"/>
      <protection hidden="1"/>
    </xf>
    <xf numFmtId="0" fontId="2" fillId="0" borderId="29" xfId="2" applyFont="1" applyBorder="1" applyAlignment="1" applyProtection="1">
      <alignment horizontal="center"/>
      <protection hidden="1"/>
    </xf>
    <xf numFmtId="0" fontId="5" fillId="0" borderId="48" xfId="2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/>
      <protection locked="0" hidden="1"/>
    </xf>
    <xf numFmtId="0" fontId="5" fillId="4" borderId="6" xfId="0" applyFont="1" applyFill="1" applyBorder="1" applyAlignment="1" applyProtection="1">
      <alignment horizontal="center" textRotation="90"/>
      <protection locked="0" hidden="1"/>
    </xf>
    <xf numFmtId="0" fontId="5" fillId="4" borderId="7" xfId="0" applyFont="1" applyFill="1" applyBorder="1" applyAlignment="1" applyProtection="1">
      <alignment horizontal="center" textRotation="90"/>
      <protection locked="0" hidden="1"/>
    </xf>
    <xf numFmtId="0" fontId="5" fillId="4" borderId="8" xfId="0" applyFont="1" applyFill="1" applyBorder="1" applyAlignment="1" applyProtection="1">
      <alignment horizontal="center" textRotation="90"/>
      <protection locked="0" hidden="1"/>
    </xf>
    <xf numFmtId="0" fontId="5" fillId="4" borderId="9" xfId="0" applyFont="1" applyFill="1" applyBorder="1" applyAlignment="1" applyProtection="1">
      <alignment horizontal="center" textRotation="90"/>
      <protection locked="0" hidden="1"/>
    </xf>
    <xf numFmtId="0" fontId="5" fillId="4" borderId="17" xfId="0" applyFont="1" applyFill="1" applyBorder="1" applyAlignment="1" applyProtection="1">
      <alignment horizontal="center" textRotation="90"/>
      <protection locked="0" hidden="1"/>
    </xf>
    <xf numFmtId="0" fontId="6" fillId="4" borderId="20" xfId="0" applyFont="1" applyFill="1" applyBorder="1" applyAlignment="1" applyProtection="1">
      <alignment horizontal="center" textRotation="90"/>
      <protection locked="0" hidden="1"/>
    </xf>
    <xf numFmtId="0" fontId="6" fillId="4" borderId="23" xfId="0" applyFont="1" applyFill="1" applyBorder="1" applyAlignment="1" applyProtection="1">
      <alignment horizontal="center" textRotation="90"/>
      <protection locked="0" hidden="1"/>
    </xf>
    <xf numFmtId="0" fontId="6" fillId="4" borderId="24" xfId="0" applyFont="1" applyFill="1" applyBorder="1" applyAlignment="1" applyProtection="1">
      <alignment horizontal="center" textRotation="90"/>
      <protection locked="0" hidden="1"/>
    </xf>
    <xf numFmtId="0" fontId="5" fillId="5" borderId="5" xfId="2" applyFont="1" applyFill="1" applyBorder="1" applyAlignment="1" applyProtection="1">
      <alignment horizontal="center" textRotation="90"/>
      <protection locked="0" hidden="1"/>
    </xf>
    <xf numFmtId="0" fontId="5" fillId="5" borderId="49" xfId="2" applyFont="1" applyFill="1" applyBorder="1" applyAlignment="1" applyProtection="1">
      <alignment horizontal="center" textRotation="90"/>
      <protection locked="0" hidden="1"/>
    </xf>
    <xf numFmtId="0" fontId="5" fillId="5" borderId="4" xfId="2" applyFont="1" applyFill="1" applyBorder="1" applyAlignment="1" applyProtection="1">
      <alignment horizontal="center" textRotation="90"/>
      <protection locked="0" hidden="1"/>
    </xf>
    <xf numFmtId="0" fontId="6" fillId="11" borderId="20" xfId="0" applyFont="1" applyFill="1" applyBorder="1" applyAlignment="1" applyProtection="1">
      <alignment horizontal="center" textRotation="90"/>
      <protection locked="0" hidden="1"/>
    </xf>
    <xf numFmtId="0" fontId="6" fillId="11" borderId="23" xfId="0" applyFont="1" applyFill="1" applyBorder="1" applyAlignment="1" applyProtection="1">
      <alignment horizontal="center" textRotation="90"/>
      <protection locked="0" hidden="1"/>
    </xf>
    <xf numFmtId="0" fontId="6" fillId="11" borderId="24" xfId="0" applyFont="1" applyFill="1" applyBorder="1" applyAlignment="1" applyProtection="1">
      <alignment horizontal="center" textRotation="90"/>
      <protection locked="0" hidden="1"/>
    </xf>
    <xf numFmtId="0" fontId="5" fillId="6" borderId="4" xfId="2" applyFont="1" applyFill="1" applyBorder="1" applyAlignment="1" applyProtection="1">
      <alignment horizontal="center" textRotation="90"/>
      <protection locked="0" hidden="1"/>
    </xf>
    <xf numFmtId="0" fontId="5" fillId="6" borderId="49" xfId="2" applyFont="1" applyFill="1" applyBorder="1" applyAlignment="1" applyProtection="1">
      <alignment horizontal="center" textRotation="90"/>
      <protection locked="0" hidden="1"/>
    </xf>
    <xf numFmtId="0" fontId="5" fillId="6" borderId="5" xfId="2" applyFont="1" applyFill="1" applyBorder="1" applyAlignment="1" applyProtection="1">
      <alignment horizontal="center" textRotation="90"/>
      <protection locked="0" hidden="1"/>
    </xf>
    <xf numFmtId="0" fontId="5" fillId="7" borderId="5" xfId="2" applyFont="1" applyFill="1" applyBorder="1" applyAlignment="1" applyProtection="1">
      <alignment horizontal="center" textRotation="90"/>
      <protection locked="0" hidden="1"/>
    </xf>
    <xf numFmtId="0" fontId="5" fillId="7" borderId="49" xfId="2" applyFont="1" applyFill="1" applyBorder="1" applyAlignment="1" applyProtection="1">
      <alignment horizontal="center" textRotation="90"/>
      <protection locked="0" hidden="1"/>
    </xf>
    <xf numFmtId="0" fontId="5" fillId="7" borderId="4" xfId="2" applyFont="1" applyFill="1" applyBorder="1" applyAlignment="1" applyProtection="1">
      <alignment horizontal="center" textRotation="90"/>
      <protection locked="0" hidden="1"/>
    </xf>
    <xf numFmtId="0" fontId="5" fillId="3" borderId="5" xfId="2" applyFont="1" applyFill="1" applyBorder="1" applyAlignment="1" applyProtection="1">
      <alignment horizontal="center" textRotation="90"/>
      <protection locked="0" hidden="1"/>
    </xf>
    <xf numFmtId="0" fontId="5" fillId="3" borderId="49" xfId="2" applyFont="1" applyFill="1" applyBorder="1" applyAlignment="1" applyProtection="1">
      <alignment horizontal="center" textRotation="90"/>
      <protection locked="0" hidden="1"/>
    </xf>
    <xf numFmtId="0" fontId="5" fillId="8" borderId="5" xfId="2" applyFont="1" applyFill="1" applyBorder="1" applyAlignment="1" applyProtection="1">
      <alignment horizontal="center" textRotation="90"/>
      <protection locked="0" hidden="1"/>
    </xf>
    <xf numFmtId="0" fontId="5" fillId="8" borderId="49" xfId="2" applyFont="1" applyFill="1" applyBorder="1" applyAlignment="1" applyProtection="1">
      <alignment horizontal="center" textRotation="90"/>
      <protection locked="0" hidden="1"/>
    </xf>
    <xf numFmtId="0" fontId="5" fillId="9" borderId="48" xfId="2" applyFont="1" applyFill="1" applyBorder="1" applyAlignment="1" applyProtection="1">
      <alignment horizontal="center" vertical="center"/>
      <protection locked="0" hidden="1"/>
    </xf>
    <xf numFmtId="0" fontId="1" fillId="2" borderId="4" xfId="1" applyBorder="1" applyAlignment="1" applyProtection="1">
      <alignment horizontal="center"/>
      <protection locked="0" hidden="1"/>
    </xf>
    <xf numFmtId="0" fontId="2" fillId="0" borderId="10" xfId="2" applyFont="1" applyBorder="1" applyAlignment="1" applyProtection="1">
      <alignment horizontal="center"/>
      <protection locked="0" hidden="1"/>
    </xf>
    <xf numFmtId="0" fontId="2" fillId="0" borderId="11" xfId="2" applyFont="1" applyBorder="1" applyAlignment="1" applyProtection="1">
      <alignment horizontal="center"/>
      <protection locked="0" hidden="1"/>
    </xf>
    <xf numFmtId="0" fontId="2" fillId="0" borderId="12" xfId="2" applyFont="1" applyBorder="1" applyAlignment="1" applyProtection="1">
      <alignment horizontal="center"/>
      <protection locked="0" hidden="1"/>
    </xf>
    <xf numFmtId="0" fontId="2" fillId="0" borderId="13" xfId="2" applyFont="1" applyBorder="1" applyAlignment="1" applyProtection="1">
      <alignment horizontal="center"/>
      <protection locked="0" hidden="1"/>
    </xf>
    <xf numFmtId="0" fontId="2" fillId="0" borderId="14" xfId="2" applyFont="1" applyBorder="1" applyAlignment="1" applyProtection="1">
      <alignment horizontal="center"/>
      <protection locked="0" hidden="1"/>
    </xf>
    <xf numFmtId="0" fontId="2" fillId="0" borderId="15" xfId="2" applyFont="1" applyBorder="1" applyAlignment="1" applyProtection="1">
      <alignment horizontal="center"/>
      <protection locked="0" hidden="1"/>
    </xf>
    <xf numFmtId="0" fontId="2" fillId="0" borderId="16" xfId="2" applyFont="1" applyBorder="1" applyAlignment="1" applyProtection="1">
      <alignment horizontal="center"/>
      <protection locked="0" hidden="1"/>
    </xf>
    <xf numFmtId="0" fontId="2" fillId="0" borderId="29" xfId="2" applyFont="1" applyBorder="1" applyAlignment="1" applyProtection="1">
      <alignment horizontal="center"/>
      <protection locked="0" hidden="1"/>
    </xf>
    <xf numFmtId="0" fontId="6" fillId="10" borderId="6" xfId="0" applyFont="1" applyFill="1" applyBorder="1" applyAlignment="1" applyProtection="1">
      <alignment horizontal="center"/>
      <protection locked="0" hidden="1"/>
    </xf>
    <xf numFmtId="0" fontId="6" fillId="10" borderId="8" xfId="0" applyFont="1" applyFill="1" applyBorder="1" applyAlignment="1" applyProtection="1">
      <alignment horizontal="center"/>
      <protection locked="0" hidden="1"/>
    </xf>
    <xf numFmtId="0" fontId="6" fillId="10" borderId="30" xfId="0" applyFont="1" applyFill="1" applyBorder="1" applyAlignment="1" applyProtection="1">
      <alignment horizontal="center"/>
      <protection locked="0" hidden="1"/>
    </xf>
    <xf numFmtId="0" fontId="2" fillId="0" borderId="5" xfId="2" applyFont="1" applyBorder="1" applyAlignment="1" applyProtection="1">
      <alignment horizontal="center"/>
      <protection locked="0" hidden="1"/>
    </xf>
    <xf numFmtId="0" fontId="2" fillId="0" borderId="49" xfId="2" applyFont="1" applyBorder="1" applyAlignment="1" applyProtection="1">
      <alignment horizontal="center"/>
      <protection locked="0" hidden="1"/>
    </xf>
    <xf numFmtId="0" fontId="2" fillId="0" borderId="4" xfId="2" applyFont="1" applyBorder="1" applyAlignment="1" applyProtection="1">
      <alignment horizontal="center"/>
      <protection locked="0" hidden="1"/>
    </xf>
    <xf numFmtId="0" fontId="6" fillId="10" borderId="43" xfId="0" applyFont="1" applyFill="1" applyBorder="1" applyAlignment="1" applyProtection="1">
      <alignment horizontal="center"/>
      <protection locked="0" hidden="1"/>
    </xf>
    <xf numFmtId="0" fontId="6" fillId="10" borderId="17" xfId="0" applyFont="1" applyFill="1" applyBorder="1" applyAlignment="1" applyProtection="1">
      <alignment horizontal="center"/>
      <protection locked="0" hidden="1"/>
    </xf>
    <xf numFmtId="0" fontId="0" fillId="0" borderId="0" xfId="0" applyFill="1" applyProtection="1"/>
    <xf numFmtId="0" fontId="2" fillId="0" borderId="4" xfId="0" applyFont="1" applyFill="1" applyBorder="1" applyAlignment="1" applyProtection="1">
      <alignment horizontal="center"/>
    </xf>
    <xf numFmtId="0" fontId="2" fillId="0" borderId="20" xfId="0" applyFont="1" applyFill="1" applyBorder="1" applyAlignment="1" applyProtection="1">
      <alignment horizontal="center"/>
      <protection hidden="1"/>
    </xf>
    <xf numFmtId="0" fontId="2" fillId="0" borderId="40" xfId="0" applyFont="1" applyFill="1" applyBorder="1" applyAlignment="1" applyProtection="1">
      <alignment horizontal="center"/>
      <protection hidden="1"/>
    </xf>
    <xf numFmtId="0" fontId="2" fillId="0" borderId="20" xfId="0" applyFont="1" applyFill="1" applyBorder="1" applyAlignment="1" applyProtection="1">
      <alignment horizontal="center"/>
    </xf>
    <xf numFmtId="0" fontId="2" fillId="0" borderId="32" xfId="0" applyFont="1" applyFill="1" applyBorder="1" applyAlignment="1" applyProtection="1">
      <alignment horizontal="center"/>
    </xf>
    <xf numFmtId="0" fontId="0" fillId="0" borderId="0" xfId="0" applyProtection="1"/>
    <xf numFmtId="0" fontId="2" fillId="0" borderId="18" xfId="0" applyFont="1" applyFill="1" applyBorder="1" applyAlignment="1" applyProtection="1">
      <alignment horizontal="center"/>
    </xf>
    <xf numFmtId="0" fontId="2" fillId="0" borderId="34" xfId="0" applyFont="1" applyFill="1" applyBorder="1" applyAlignment="1" applyProtection="1">
      <alignment horizontal="center"/>
    </xf>
    <xf numFmtId="0" fontId="7" fillId="0" borderId="16" xfId="0" applyFont="1" applyFill="1" applyBorder="1" applyAlignment="1" applyProtection="1">
      <alignment horizontal="center" wrapText="1"/>
      <protection hidden="1"/>
    </xf>
    <xf numFmtId="0" fontId="7" fillId="0" borderId="29" xfId="0" applyFont="1" applyFill="1" applyBorder="1" applyAlignment="1" applyProtection="1">
      <alignment horizontal="center" wrapText="1"/>
      <protection hidden="1"/>
    </xf>
    <xf numFmtId="0" fontId="7" fillId="0" borderId="33" xfId="0" applyFont="1" applyFill="1" applyBorder="1" applyAlignment="1" applyProtection="1">
      <alignment horizontal="center" wrapText="1"/>
      <protection hidden="1"/>
    </xf>
    <xf numFmtId="0" fontId="7" fillId="0" borderId="28" xfId="0" applyFont="1" applyFill="1" applyBorder="1" applyAlignment="1" applyProtection="1">
      <alignment horizontal="center" wrapText="1"/>
      <protection hidden="1"/>
    </xf>
    <xf numFmtId="0" fontId="7" fillId="0" borderId="27" xfId="0" applyFont="1" applyFill="1" applyBorder="1" applyAlignment="1" applyProtection="1">
      <alignment horizontal="center" wrapText="1"/>
      <protection hidden="1"/>
    </xf>
    <xf numFmtId="0" fontId="7" fillId="0" borderId="14" xfId="0" applyFont="1" applyFill="1" applyBorder="1" applyAlignment="1" applyProtection="1">
      <alignment horizontal="center" wrapText="1"/>
      <protection hidden="1"/>
    </xf>
    <xf numFmtId="0" fontId="7" fillId="0" borderId="15" xfId="0" applyFont="1" applyFill="1" applyBorder="1" applyAlignment="1" applyProtection="1">
      <alignment horizontal="center" wrapText="1"/>
      <protection hidden="1"/>
    </xf>
    <xf numFmtId="0" fontId="7" fillId="0" borderId="28" xfId="0" applyFont="1" applyFill="1" applyBorder="1" applyAlignment="1" applyProtection="1">
      <alignment horizontal="center"/>
      <protection hidden="1"/>
    </xf>
    <xf numFmtId="0" fontId="7" fillId="0" borderId="8" xfId="0" applyFont="1" applyFill="1" applyBorder="1" applyAlignment="1" applyProtection="1">
      <alignment horizontal="center" wrapText="1"/>
      <protection hidden="1"/>
    </xf>
    <xf numFmtId="0" fontId="7" fillId="0" borderId="9" xfId="0" applyFont="1" applyFill="1" applyBorder="1" applyAlignment="1" applyProtection="1">
      <alignment horizontal="center" wrapText="1"/>
      <protection hidden="1"/>
    </xf>
    <xf numFmtId="0" fontId="7" fillId="0" borderId="7" xfId="0" applyFont="1" applyFill="1" applyBorder="1" applyAlignment="1" applyProtection="1">
      <alignment horizontal="center" wrapText="1"/>
      <protection hidden="1"/>
    </xf>
    <xf numFmtId="0" fontId="7" fillId="0" borderId="6" xfId="0" applyFont="1" applyFill="1" applyBorder="1" applyAlignment="1" applyProtection="1">
      <alignment horizontal="center" wrapText="1"/>
      <protection hidden="1"/>
    </xf>
    <xf numFmtId="0" fontId="4" fillId="8" borderId="1" xfId="0" applyFont="1" applyFill="1" applyBorder="1" applyAlignment="1" applyProtection="1">
      <alignment horizontal="center"/>
      <protection hidden="1"/>
    </xf>
    <xf numFmtId="0" fontId="4" fillId="8" borderId="3" xfId="0" applyFont="1" applyFill="1" applyBorder="1" applyAlignment="1" applyProtection="1">
      <alignment horizontal="center"/>
      <protection hidden="1"/>
    </xf>
    <xf numFmtId="0" fontId="3" fillId="4" borderId="1" xfId="0" applyFont="1" applyFill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0" fontId="4" fillId="5" borderId="2" xfId="0" applyFont="1" applyFill="1" applyBorder="1" applyAlignment="1" applyProtection="1">
      <alignment horizontal="center"/>
      <protection hidden="1"/>
    </xf>
    <xf numFmtId="0" fontId="4" fillId="5" borderId="3" xfId="0" applyFont="1" applyFill="1" applyBorder="1" applyAlignment="1" applyProtection="1">
      <alignment horizontal="center"/>
      <protection hidden="1"/>
    </xf>
    <xf numFmtId="0" fontId="4" fillId="6" borderId="1" xfId="0" applyFont="1" applyFill="1" applyBorder="1" applyAlignment="1" applyProtection="1">
      <alignment horizontal="center"/>
      <protection hidden="1"/>
    </xf>
    <xf numFmtId="0" fontId="4" fillId="6" borderId="2" xfId="0" applyFont="1" applyFill="1" applyBorder="1" applyAlignment="1" applyProtection="1">
      <alignment horizontal="center"/>
      <protection hidden="1"/>
    </xf>
    <xf numFmtId="0" fontId="4" fillId="6" borderId="3" xfId="0" applyFont="1" applyFill="1" applyBorder="1" applyAlignment="1" applyProtection="1">
      <alignment horizontal="center"/>
      <protection hidden="1"/>
    </xf>
    <xf numFmtId="0" fontId="4" fillId="7" borderId="1" xfId="0" applyFont="1" applyFill="1" applyBorder="1" applyAlignment="1" applyProtection="1">
      <alignment horizontal="center"/>
      <protection hidden="1"/>
    </xf>
    <xf numFmtId="0" fontId="4" fillId="7" borderId="2" xfId="0" applyFont="1" applyFill="1" applyBorder="1" applyAlignment="1" applyProtection="1">
      <alignment horizontal="center"/>
      <protection hidden="1"/>
    </xf>
    <xf numFmtId="0" fontId="4" fillId="7" borderId="3" xfId="0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5" fillId="7" borderId="1" xfId="0" applyFont="1" applyFill="1" applyBorder="1" applyAlignment="1" applyProtection="1">
      <alignment horizontal="center" textRotation="90"/>
      <protection locked="0"/>
    </xf>
    <xf numFmtId="0" fontId="5" fillId="7" borderId="2" xfId="0" applyFont="1" applyFill="1" applyBorder="1" applyAlignment="1" applyProtection="1">
      <alignment horizontal="center" textRotation="90"/>
      <protection locked="0"/>
    </xf>
    <xf numFmtId="0" fontId="5" fillId="7" borderId="3" xfId="0" applyFont="1" applyFill="1" applyBorder="1" applyAlignment="1" applyProtection="1">
      <alignment horizontal="center" textRotation="90"/>
      <protection locked="0"/>
    </xf>
    <xf numFmtId="0" fontId="5" fillId="3" borderId="8" xfId="0" applyFont="1" applyFill="1" applyBorder="1" applyAlignment="1" applyProtection="1">
      <alignment horizontal="center" textRotation="90"/>
      <protection locked="0"/>
    </xf>
    <xf numFmtId="0" fontId="5" fillId="3" borderId="17" xfId="0" applyFont="1" applyFill="1" applyBorder="1" applyAlignment="1" applyProtection="1">
      <alignment horizontal="center" textRotation="90"/>
      <protection locked="0"/>
    </xf>
    <xf numFmtId="0" fontId="5" fillId="3" borderId="7" xfId="0" applyFont="1" applyFill="1" applyBorder="1" applyAlignment="1" applyProtection="1">
      <alignment horizontal="center" textRotation="90"/>
      <protection locked="0"/>
    </xf>
    <xf numFmtId="0" fontId="5" fillId="9" borderId="8" xfId="0" applyFont="1" applyFill="1" applyBorder="1" applyAlignment="1" applyProtection="1">
      <alignment horizontal="center" vertical="center" textRotation="90"/>
      <protection locked="0"/>
    </xf>
    <xf numFmtId="0" fontId="5" fillId="9" borderId="17" xfId="0" applyFont="1" applyFill="1" applyBorder="1" applyAlignment="1" applyProtection="1">
      <alignment horizontal="center" vertical="center" textRotation="90"/>
      <protection locked="0"/>
    </xf>
    <xf numFmtId="0" fontId="5" fillId="9" borderId="7" xfId="0" applyFont="1" applyFill="1" applyBorder="1" applyAlignment="1" applyProtection="1">
      <alignment horizontal="center" vertical="center" textRotation="90"/>
      <protection locked="0"/>
    </xf>
    <xf numFmtId="0" fontId="5" fillId="6" borderId="1" xfId="0" applyFont="1" applyFill="1" applyBorder="1" applyAlignment="1" applyProtection="1">
      <alignment horizontal="center" textRotation="90"/>
      <protection locked="0"/>
    </xf>
    <xf numFmtId="0" fontId="5" fillId="6" borderId="2" xfId="0" applyFont="1" applyFill="1" applyBorder="1" applyAlignment="1" applyProtection="1">
      <alignment horizontal="center" textRotation="90"/>
      <protection locked="0"/>
    </xf>
    <xf numFmtId="0" fontId="5" fillId="6" borderId="3" xfId="0" applyFont="1" applyFill="1" applyBorder="1" applyAlignment="1" applyProtection="1">
      <alignment horizontal="center" textRotation="90"/>
      <protection locked="0"/>
    </xf>
  </cellXfs>
  <cellStyles count="3">
    <cellStyle name="Good" xfId="1" builtinId="26"/>
    <cellStyle name="Normal" xfId="0" builtinId="0"/>
    <cellStyle name="Normal 2" xfId="2" xr:uid="{00000000-0005-0000-0000-00002F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887C-D9AD-4C24-92A6-1A14FEFE5C56}">
  <sheetPr codeName="Sheet1"/>
  <dimension ref="A1:ER50"/>
  <sheetViews>
    <sheetView showGridLines="0" tabSelected="1" showWhiteSpace="0" zoomScale="70" zoomScaleNormal="70" workbookViewId="0">
      <selection activeCell="E4" sqref="E4"/>
    </sheetView>
  </sheetViews>
  <sheetFormatPr defaultRowHeight="15" x14ac:dyDescent="0.25"/>
  <cols>
    <col min="1" max="1" width="21.28515625" bestFit="1" customWidth="1"/>
    <col min="2" max="97" width="2.140625" customWidth="1"/>
    <col min="98" max="98" width="4.28515625" customWidth="1"/>
    <col min="99" max="99" width="3.7109375" bestFit="1" customWidth="1"/>
    <col min="100" max="100" width="4.42578125" bestFit="1" customWidth="1"/>
    <col min="101" max="116" width="2.5703125" customWidth="1"/>
    <col min="117" max="117" width="5.140625" customWidth="1"/>
    <col min="118" max="118" width="3.7109375" bestFit="1" customWidth="1"/>
    <col min="119" max="119" width="4.42578125" bestFit="1" customWidth="1"/>
    <col min="120" max="127" width="2.5703125" customWidth="1"/>
    <col min="128" max="128" width="5.140625" customWidth="1"/>
    <col min="129" max="129" width="3.7109375" bestFit="1" customWidth="1"/>
    <col min="130" max="130" width="4.42578125" bestFit="1" customWidth="1"/>
    <col min="131" max="134" width="2.5703125" customWidth="1"/>
    <col min="135" max="135" width="5.140625" customWidth="1"/>
    <col min="136" max="136" width="3.7109375" bestFit="1" customWidth="1"/>
    <col min="137" max="137" width="4.42578125" bestFit="1" customWidth="1"/>
    <col min="138" max="139" width="2.5703125" customWidth="1"/>
    <col min="140" max="140" width="5.5703125" bestFit="1" customWidth="1"/>
    <col min="141" max="141" width="3.7109375" bestFit="1" customWidth="1"/>
    <col min="142" max="142" width="5.5703125" bestFit="1" customWidth="1"/>
    <col min="143" max="144" width="2.5703125" customWidth="1"/>
    <col min="145" max="145" width="18.42578125" customWidth="1"/>
    <col min="146" max="146" width="5.5703125" bestFit="1" customWidth="1"/>
    <col min="147" max="147" width="3.7109375" bestFit="1" customWidth="1"/>
    <col min="148" max="148" width="9.28515625" bestFit="1" customWidth="1"/>
  </cols>
  <sheetData>
    <row r="1" spans="1:148" ht="18.75" thickBot="1" x14ac:dyDescent="0.4">
      <c r="A1" s="1"/>
      <c r="B1" s="168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70"/>
      <c r="CT1" s="13"/>
      <c r="CU1" s="13"/>
      <c r="CV1" s="13"/>
      <c r="CW1" s="171" t="s">
        <v>1</v>
      </c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3"/>
      <c r="DM1" s="28"/>
      <c r="DN1" s="28"/>
      <c r="DO1" s="28"/>
      <c r="DP1" s="174" t="s">
        <v>2</v>
      </c>
      <c r="DQ1" s="175"/>
      <c r="DR1" s="175"/>
      <c r="DS1" s="175"/>
      <c r="DT1" s="175"/>
      <c r="DU1" s="175"/>
      <c r="DV1" s="175"/>
      <c r="DW1" s="176"/>
      <c r="DX1" s="191"/>
      <c r="DY1" s="192"/>
      <c r="DZ1" s="193"/>
      <c r="EA1" s="177" t="s">
        <v>3</v>
      </c>
      <c r="EB1" s="178"/>
      <c r="EC1" s="178"/>
      <c r="ED1" s="179"/>
      <c r="EE1" s="182"/>
      <c r="EF1" s="183"/>
      <c r="EG1" s="184"/>
      <c r="EH1" s="180" t="s">
        <v>4</v>
      </c>
      <c r="EI1" s="181"/>
      <c r="EJ1" s="185"/>
      <c r="EK1" s="186"/>
      <c r="EL1" s="187"/>
      <c r="EM1" s="166" t="s">
        <v>5</v>
      </c>
      <c r="EN1" s="167"/>
      <c r="EO1" s="39" t="s">
        <v>6</v>
      </c>
      <c r="EP1" s="188"/>
      <c r="EQ1" s="189"/>
      <c r="ER1" s="190"/>
    </row>
    <row r="2" spans="1:148" ht="49.5" thickBot="1" x14ac:dyDescent="0.35">
      <c r="A2" s="102"/>
      <c r="B2" s="103" t="s">
        <v>7</v>
      </c>
      <c r="C2" s="104" t="s">
        <v>8</v>
      </c>
      <c r="D2" s="105" t="s">
        <v>9</v>
      </c>
      <c r="E2" s="104" t="s">
        <v>10</v>
      </c>
      <c r="F2" s="105" t="s">
        <v>11</v>
      </c>
      <c r="G2" s="104" t="s">
        <v>12</v>
      </c>
      <c r="H2" s="105" t="s">
        <v>13</v>
      </c>
      <c r="I2" s="104" t="s">
        <v>14</v>
      </c>
      <c r="J2" s="105" t="s">
        <v>15</v>
      </c>
      <c r="K2" s="104" t="s">
        <v>16</v>
      </c>
      <c r="L2" s="105" t="s">
        <v>17</v>
      </c>
      <c r="M2" s="104" t="s">
        <v>18</v>
      </c>
      <c r="N2" s="105" t="s">
        <v>19</v>
      </c>
      <c r="O2" s="104" t="s">
        <v>20</v>
      </c>
      <c r="P2" s="105" t="s">
        <v>21</v>
      </c>
      <c r="Q2" s="104" t="s">
        <v>22</v>
      </c>
      <c r="R2" s="105" t="s">
        <v>23</v>
      </c>
      <c r="S2" s="104" t="s">
        <v>24</v>
      </c>
      <c r="T2" s="105" t="s">
        <v>25</v>
      </c>
      <c r="U2" s="104" t="s">
        <v>26</v>
      </c>
      <c r="V2" s="105" t="s">
        <v>27</v>
      </c>
      <c r="W2" s="104" t="s">
        <v>28</v>
      </c>
      <c r="X2" s="105" t="s">
        <v>29</v>
      </c>
      <c r="Y2" s="104" t="s">
        <v>30</v>
      </c>
      <c r="Z2" s="105" t="s">
        <v>31</v>
      </c>
      <c r="AA2" s="104" t="s">
        <v>32</v>
      </c>
      <c r="AB2" s="105" t="s">
        <v>33</v>
      </c>
      <c r="AC2" s="104" t="s">
        <v>34</v>
      </c>
      <c r="AD2" s="105" t="s">
        <v>35</v>
      </c>
      <c r="AE2" s="104" t="s">
        <v>36</v>
      </c>
      <c r="AF2" s="105" t="s">
        <v>37</v>
      </c>
      <c r="AG2" s="106" t="s">
        <v>38</v>
      </c>
      <c r="AH2" s="103" t="s">
        <v>7</v>
      </c>
      <c r="AI2" s="104" t="s">
        <v>9</v>
      </c>
      <c r="AJ2" s="105" t="s">
        <v>10</v>
      </c>
      <c r="AK2" s="104" t="s">
        <v>8</v>
      </c>
      <c r="AL2" s="105" t="s">
        <v>11</v>
      </c>
      <c r="AM2" s="104" t="s">
        <v>13</v>
      </c>
      <c r="AN2" s="105" t="s">
        <v>14</v>
      </c>
      <c r="AO2" s="104" t="s">
        <v>12</v>
      </c>
      <c r="AP2" s="105" t="s">
        <v>15</v>
      </c>
      <c r="AQ2" s="104" t="s">
        <v>17</v>
      </c>
      <c r="AR2" s="105" t="s">
        <v>18</v>
      </c>
      <c r="AS2" s="104" t="s">
        <v>16</v>
      </c>
      <c r="AT2" s="105" t="s">
        <v>19</v>
      </c>
      <c r="AU2" s="104" t="s">
        <v>21</v>
      </c>
      <c r="AV2" s="105" t="s">
        <v>22</v>
      </c>
      <c r="AW2" s="104" t="s">
        <v>20</v>
      </c>
      <c r="AX2" s="105" t="s">
        <v>23</v>
      </c>
      <c r="AY2" s="104" t="s">
        <v>25</v>
      </c>
      <c r="AZ2" s="105" t="s">
        <v>26</v>
      </c>
      <c r="BA2" s="104" t="s">
        <v>24</v>
      </c>
      <c r="BB2" s="105" t="s">
        <v>27</v>
      </c>
      <c r="BC2" s="104" t="s">
        <v>29</v>
      </c>
      <c r="BD2" s="105" t="s">
        <v>30</v>
      </c>
      <c r="BE2" s="104" t="s">
        <v>28</v>
      </c>
      <c r="BF2" s="105" t="s">
        <v>31</v>
      </c>
      <c r="BG2" s="104" t="s">
        <v>33</v>
      </c>
      <c r="BH2" s="105" t="s">
        <v>34</v>
      </c>
      <c r="BI2" s="104" t="s">
        <v>32</v>
      </c>
      <c r="BJ2" s="105" t="s">
        <v>35</v>
      </c>
      <c r="BK2" s="104" t="s">
        <v>37</v>
      </c>
      <c r="BL2" s="105" t="s">
        <v>38</v>
      </c>
      <c r="BM2" s="106" t="s">
        <v>36</v>
      </c>
      <c r="BN2" s="103" t="s">
        <v>8</v>
      </c>
      <c r="BO2" s="104" t="s">
        <v>9</v>
      </c>
      <c r="BP2" s="105" t="s">
        <v>10</v>
      </c>
      <c r="BQ2" s="104" t="s">
        <v>7</v>
      </c>
      <c r="BR2" s="105" t="s">
        <v>12</v>
      </c>
      <c r="BS2" s="104" t="s">
        <v>13</v>
      </c>
      <c r="BT2" s="105" t="s">
        <v>14</v>
      </c>
      <c r="BU2" s="104" t="s">
        <v>11</v>
      </c>
      <c r="BV2" s="105" t="s">
        <v>16</v>
      </c>
      <c r="BW2" s="104" t="s">
        <v>17</v>
      </c>
      <c r="BX2" s="105" t="s">
        <v>18</v>
      </c>
      <c r="BY2" s="104" t="s">
        <v>15</v>
      </c>
      <c r="BZ2" s="105" t="s">
        <v>20</v>
      </c>
      <c r="CA2" s="104" t="s">
        <v>21</v>
      </c>
      <c r="CB2" s="105" t="s">
        <v>22</v>
      </c>
      <c r="CC2" s="104" t="s">
        <v>19</v>
      </c>
      <c r="CD2" s="105" t="s">
        <v>24</v>
      </c>
      <c r="CE2" s="104" t="s">
        <v>25</v>
      </c>
      <c r="CF2" s="105" t="s">
        <v>26</v>
      </c>
      <c r="CG2" s="104" t="s">
        <v>23</v>
      </c>
      <c r="CH2" s="105" t="s">
        <v>28</v>
      </c>
      <c r="CI2" s="104" t="s">
        <v>29</v>
      </c>
      <c r="CJ2" s="105" t="s">
        <v>30</v>
      </c>
      <c r="CK2" s="104" t="s">
        <v>27</v>
      </c>
      <c r="CL2" s="105" t="s">
        <v>32</v>
      </c>
      <c r="CM2" s="104" t="s">
        <v>33</v>
      </c>
      <c r="CN2" s="105" t="s">
        <v>34</v>
      </c>
      <c r="CO2" s="104" t="s">
        <v>31</v>
      </c>
      <c r="CP2" s="105" t="s">
        <v>36</v>
      </c>
      <c r="CQ2" s="104" t="s">
        <v>37</v>
      </c>
      <c r="CR2" s="105" t="s">
        <v>38</v>
      </c>
      <c r="CS2" s="107" t="s">
        <v>35</v>
      </c>
      <c r="CT2" s="108" t="s">
        <v>40</v>
      </c>
      <c r="CU2" s="109" t="s">
        <v>41</v>
      </c>
      <c r="CV2" s="110" t="s">
        <v>42</v>
      </c>
      <c r="CW2" s="111"/>
      <c r="CX2" s="112"/>
      <c r="CY2" s="113"/>
      <c r="CZ2" s="112"/>
      <c r="DA2" s="113"/>
      <c r="DB2" s="112"/>
      <c r="DC2" s="113"/>
      <c r="DD2" s="112"/>
      <c r="DE2" s="113"/>
      <c r="DF2" s="112"/>
      <c r="DG2" s="113"/>
      <c r="DH2" s="112"/>
      <c r="DI2" s="113"/>
      <c r="DJ2" s="112"/>
      <c r="DK2" s="113"/>
      <c r="DL2" s="112"/>
      <c r="DM2" s="114" t="s">
        <v>40</v>
      </c>
      <c r="DN2" s="115" t="s">
        <v>41</v>
      </c>
      <c r="DO2" s="116" t="s">
        <v>42</v>
      </c>
      <c r="DP2" s="117"/>
      <c r="DQ2" s="118"/>
      <c r="DR2" s="117"/>
      <c r="DS2" s="118"/>
      <c r="DT2" s="119"/>
      <c r="DU2" s="118"/>
      <c r="DV2" s="117"/>
      <c r="DW2" s="118"/>
      <c r="DX2" s="34" t="s">
        <v>40</v>
      </c>
      <c r="DY2" s="34" t="s">
        <v>41</v>
      </c>
      <c r="DZ2" s="35" t="s">
        <v>42</v>
      </c>
      <c r="EA2" s="120"/>
      <c r="EB2" s="121"/>
      <c r="EC2" s="122"/>
      <c r="ED2" s="121"/>
      <c r="EE2" s="37" t="s">
        <v>40</v>
      </c>
      <c r="EF2" s="37" t="s">
        <v>41</v>
      </c>
      <c r="EG2" s="38" t="s">
        <v>42</v>
      </c>
      <c r="EH2" s="123"/>
      <c r="EI2" s="124"/>
      <c r="EJ2" s="41" t="s">
        <v>40</v>
      </c>
      <c r="EK2" s="41" t="s">
        <v>41</v>
      </c>
      <c r="EL2" s="41" t="s">
        <v>42</v>
      </c>
      <c r="EM2" s="125"/>
      <c r="EN2" s="126"/>
      <c r="EO2" s="127"/>
      <c r="EP2" s="40" t="s">
        <v>40</v>
      </c>
      <c r="EQ2" s="40" t="s">
        <v>41</v>
      </c>
      <c r="ER2" s="40" t="s">
        <v>42</v>
      </c>
    </row>
    <row r="3" spans="1:148" ht="16.5" thickBot="1" x14ac:dyDescent="0.35">
      <c r="A3" s="128" t="s">
        <v>39</v>
      </c>
      <c r="B3" s="129">
        <v>5</v>
      </c>
      <c r="C3" s="130">
        <v>0</v>
      </c>
      <c r="D3" s="131">
        <v>0</v>
      </c>
      <c r="E3" s="130">
        <v>1</v>
      </c>
      <c r="F3" s="131"/>
      <c r="G3" s="130"/>
      <c r="H3" s="131"/>
      <c r="I3" s="130"/>
      <c r="J3" s="131"/>
      <c r="K3" s="130"/>
      <c r="L3" s="131"/>
      <c r="M3" s="130"/>
      <c r="N3" s="131"/>
      <c r="O3" s="130"/>
      <c r="P3" s="131"/>
      <c r="Q3" s="130"/>
      <c r="R3" s="131"/>
      <c r="S3" s="130"/>
      <c r="T3" s="131"/>
      <c r="U3" s="130"/>
      <c r="V3" s="131"/>
      <c r="W3" s="130"/>
      <c r="X3" s="131"/>
      <c r="Y3" s="130"/>
      <c r="Z3" s="131"/>
      <c r="AA3" s="130"/>
      <c r="AB3" s="131"/>
      <c r="AC3" s="130"/>
      <c r="AD3" s="131"/>
      <c r="AE3" s="130"/>
      <c r="AF3" s="131"/>
      <c r="AG3" s="132"/>
      <c r="AH3" s="129"/>
      <c r="AI3" s="130"/>
      <c r="AJ3" s="131"/>
      <c r="AK3" s="130"/>
      <c r="AL3" s="131"/>
      <c r="AM3" s="130"/>
      <c r="AN3" s="131"/>
      <c r="AO3" s="130"/>
      <c r="AP3" s="131"/>
      <c r="AQ3" s="130"/>
      <c r="AR3" s="131"/>
      <c r="AS3" s="130"/>
      <c r="AT3" s="131"/>
      <c r="AU3" s="130"/>
      <c r="AV3" s="131"/>
      <c r="AW3" s="130"/>
      <c r="AX3" s="131"/>
      <c r="AY3" s="130"/>
      <c r="AZ3" s="131"/>
      <c r="BA3" s="130"/>
      <c r="BB3" s="131"/>
      <c r="BC3" s="130"/>
      <c r="BD3" s="131"/>
      <c r="BE3" s="130"/>
      <c r="BF3" s="131"/>
      <c r="BG3" s="130"/>
      <c r="BH3" s="131"/>
      <c r="BI3" s="130"/>
      <c r="BJ3" s="131"/>
      <c r="BK3" s="130"/>
      <c r="BL3" s="131"/>
      <c r="BM3" s="132"/>
      <c r="BN3" s="133"/>
      <c r="BO3" s="134"/>
      <c r="BP3" s="135"/>
      <c r="BQ3" s="134"/>
      <c r="BR3" s="135"/>
      <c r="BS3" s="134"/>
      <c r="BT3" s="135"/>
      <c r="BU3" s="134"/>
      <c r="BV3" s="135"/>
      <c r="BW3" s="134"/>
      <c r="BX3" s="135"/>
      <c r="BY3" s="134"/>
      <c r="BZ3" s="135"/>
      <c r="CA3" s="134"/>
      <c r="CB3" s="135"/>
      <c r="CC3" s="134"/>
      <c r="CD3" s="135"/>
      <c r="CE3" s="134"/>
      <c r="CF3" s="135"/>
      <c r="CG3" s="134"/>
      <c r="CH3" s="135"/>
      <c r="CI3" s="134"/>
      <c r="CJ3" s="135"/>
      <c r="CK3" s="134"/>
      <c r="CL3" s="135"/>
      <c r="CM3" s="134"/>
      <c r="CN3" s="135"/>
      <c r="CO3" s="134"/>
      <c r="CP3" s="135"/>
      <c r="CQ3" s="134"/>
      <c r="CR3" s="135"/>
      <c r="CS3" s="136"/>
      <c r="CT3" s="137"/>
      <c r="CU3" s="138"/>
      <c r="CV3" s="139"/>
      <c r="CW3" s="140"/>
      <c r="CX3" s="141"/>
      <c r="CY3" s="142"/>
      <c r="CZ3" s="141"/>
      <c r="DA3" s="142"/>
      <c r="DB3" s="141"/>
      <c r="DC3" s="142"/>
      <c r="DD3" s="141"/>
      <c r="DE3" s="142"/>
      <c r="DF3" s="141"/>
      <c r="DG3" s="142"/>
      <c r="DH3" s="141"/>
      <c r="DI3" s="142"/>
      <c r="DJ3" s="141"/>
      <c r="DK3" s="142"/>
      <c r="DL3" s="141"/>
      <c r="DM3" s="143"/>
      <c r="DN3" s="138"/>
      <c r="DO3" s="139"/>
      <c r="DP3" s="142"/>
      <c r="DQ3" s="141"/>
      <c r="DR3" s="142"/>
      <c r="DS3" s="141"/>
      <c r="DT3" s="142"/>
      <c r="DU3" s="141"/>
      <c r="DV3" s="142"/>
      <c r="DW3" s="141"/>
      <c r="DX3" s="137"/>
      <c r="DY3" s="138"/>
      <c r="DZ3" s="139"/>
      <c r="EA3" s="142"/>
      <c r="EB3" s="141"/>
      <c r="EC3" s="142"/>
      <c r="ED3" s="141"/>
      <c r="EE3" s="137"/>
      <c r="EF3" s="138"/>
      <c r="EG3" s="139"/>
      <c r="EH3" s="142"/>
      <c r="EI3" s="141"/>
      <c r="EJ3" s="144"/>
      <c r="EK3" s="138"/>
      <c r="EL3" s="139"/>
      <c r="EM3" s="142"/>
      <c r="EN3" s="141"/>
      <c r="EO3" s="50"/>
      <c r="EP3" s="137"/>
      <c r="EQ3" s="138"/>
      <c r="ER3" s="139"/>
    </row>
    <row r="4" spans="1:148" s="145" customFormat="1" ht="24" thickBot="1" x14ac:dyDescent="0.35">
      <c r="A4" s="2"/>
      <c r="B4" s="3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  <c r="AH4" s="3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6"/>
      <c r="BN4" s="3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17"/>
      <c r="CU4" s="18"/>
      <c r="CV4" s="19"/>
      <c r="CW4" s="78" t="s">
        <v>10</v>
      </c>
      <c r="CX4" s="77" t="s">
        <v>11</v>
      </c>
      <c r="CY4" s="76" t="s">
        <v>15</v>
      </c>
      <c r="CZ4" s="77" t="s">
        <v>21</v>
      </c>
      <c r="DA4" s="76" t="s">
        <v>19</v>
      </c>
      <c r="DB4" s="77" t="s">
        <v>17</v>
      </c>
      <c r="DC4" s="76" t="s">
        <v>12</v>
      </c>
      <c r="DD4" s="77" t="s">
        <v>7</v>
      </c>
      <c r="DE4" s="76" t="s">
        <v>23</v>
      </c>
      <c r="DF4" s="77" t="s">
        <v>28</v>
      </c>
      <c r="DG4" s="76" t="s">
        <v>31</v>
      </c>
      <c r="DH4" s="77" t="s">
        <v>38</v>
      </c>
      <c r="DI4" s="76" t="s">
        <v>27</v>
      </c>
      <c r="DJ4" s="77" t="s">
        <v>24</v>
      </c>
      <c r="DK4" s="76" t="s">
        <v>37</v>
      </c>
      <c r="DL4" s="77" t="s">
        <v>34</v>
      </c>
      <c r="DM4" s="47"/>
      <c r="DN4" s="32"/>
      <c r="DO4" s="33"/>
      <c r="DP4" s="79" t="s">
        <v>23</v>
      </c>
      <c r="DQ4" s="80" t="s">
        <v>31</v>
      </c>
      <c r="DR4" s="79" t="s">
        <v>11</v>
      </c>
      <c r="DS4" s="80" t="s">
        <v>15</v>
      </c>
      <c r="DT4" s="81" t="s">
        <v>12</v>
      </c>
      <c r="DU4" s="80" t="s">
        <v>17</v>
      </c>
      <c r="DV4" s="79" t="s">
        <v>27</v>
      </c>
      <c r="DW4" s="80" t="s">
        <v>34</v>
      </c>
      <c r="DX4" s="49"/>
      <c r="DY4" s="36"/>
      <c r="DZ4" s="33"/>
      <c r="EA4" s="82" t="s">
        <v>15</v>
      </c>
      <c r="EB4" s="83" t="s">
        <v>23</v>
      </c>
      <c r="EC4" s="84" t="s">
        <v>12</v>
      </c>
      <c r="ED4" s="83" t="s">
        <v>27</v>
      </c>
      <c r="EE4" s="49"/>
      <c r="EF4" s="36"/>
      <c r="EG4" s="33"/>
      <c r="EH4" s="85" t="s">
        <v>15</v>
      </c>
      <c r="EI4" s="86" t="s">
        <v>27</v>
      </c>
      <c r="EJ4" s="31"/>
      <c r="EK4" s="18"/>
      <c r="EL4" s="19"/>
      <c r="EM4" s="87" t="s">
        <v>23</v>
      </c>
      <c r="EN4" s="88" t="s">
        <v>12</v>
      </c>
      <c r="EO4" s="89" t="s">
        <v>43</v>
      </c>
      <c r="EP4" s="17"/>
      <c r="EQ4" s="18"/>
      <c r="ER4" s="19"/>
    </row>
    <row r="5" spans="1:148" s="151" customFormat="1" ht="16.5" thickBot="1" x14ac:dyDescent="0.35">
      <c r="A5" s="146" t="s">
        <v>45</v>
      </c>
      <c r="B5" s="92">
        <v>3</v>
      </c>
      <c r="C5" s="93">
        <v>0</v>
      </c>
      <c r="D5" s="94">
        <v>0</v>
      </c>
      <c r="E5" s="93">
        <v>2</v>
      </c>
      <c r="F5" s="94">
        <v>1</v>
      </c>
      <c r="G5" s="93">
        <v>2</v>
      </c>
      <c r="H5" s="94">
        <v>1</v>
      </c>
      <c r="I5" s="93">
        <v>1</v>
      </c>
      <c r="J5" s="94">
        <v>2</v>
      </c>
      <c r="K5" s="93">
        <v>0</v>
      </c>
      <c r="L5" s="94">
        <v>1</v>
      </c>
      <c r="M5" s="93">
        <v>0</v>
      </c>
      <c r="N5" s="94">
        <v>2</v>
      </c>
      <c r="O5" s="93">
        <v>1</v>
      </c>
      <c r="P5" s="94">
        <v>2</v>
      </c>
      <c r="Q5" s="93">
        <v>0</v>
      </c>
      <c r="R5" s="94">
        <v>2</v>
      </c>
      <c r="S5" s="93">
        <v>0</v>
      </c>
      <c r="T5" s="94">
        <v>2</v>
      </c>
      <c r="U5" s="93">
        <v>1</v>
      </c>
      <c r="V5" s="94">
        <v>3</v>
      </c>
      <c r="W5" s="93">
        <v>1</v>
      </c>
      <c r="X5" s="94">
        <v>2</v>
      </c>
      <c r="Y5" s="93">
        <v>0</v>
      </c>
      <c r="Z5" s="94">
        <v>3</v>
      </c>
      <c r="AA5" s="93">
        <v>0</v>
      </c>
      <c r="AB5" s="94">
        <v>0</v>
      </c>
      <c r="AC5" s="93">
        <v>2</v>
      </c>
      <c r="AD5" s="94">
        <v>1</v>
      </c>
      <c r="AE5" s="93">
        <v>2</v>
      </c>
      <c r="AF5" s="94">
        <v>2</v>
      </c>
      <c r="AG5" s="95">
        <v>1</v>
      </c>
      <c r="AH5" s="92">
        <v>2</v>
      </c>
      <c r="AI5" s="93">
        <v>0</v>
      </c>
      <c r="AJ5" s="94">
        <v>2</v>
      </c>
      <c r="AK5" s="93">
        <v>0</v>
      </c>
      <c r="AL5" s="94">
        <v>3</v>
      </c>
      <c r="AM5" s="93">
        <v>0</v>
      </c>
      <c r="AN5" s="94">
        <v>0</v>
      </c>
      <c r="AO5" s="93">
        <v>3</v>
      </c>
      <c r="AP5" s="94">
        <v>2</v>
      </c>
      <c r="AQ5" s="93">
        <v>1</v>
      </c>
      <c r="AR5" s="94">
        <v>2</v>
      </c>
      <c r="AS5" s="93">
        <v>2</v>
      </c>
      <c r="AT5" s="94">
        <v>3</v>
      </c>
      <c r="AU5" s="93">
        <v>0</v>
      </c>
      <c r="AV5" s="94">
        <v>1</v>
      </c>
      <c r="AW5" s="93">
        <v>1</v>
      </c>
      <c r="AX5" s="94">
        <v>3</v>
      </c>
      <c r="AY5" s="93">
        <v>0</v>
      </c>
      <c r="AZ5" s="94">
        <v>0</v>
      </c>
      <c r="BA5" s="93">
        <v>2</v>
      </c>
      <c r="BB5" s="94">
        <v>3</v>
      </c>
      <c r="BC5" s="93">
        <v>1</v>
      </c>
      <c r="BD5" s="94">
        <v>0</v>
      </c>
      <c r="BE5" s="93">
        <v>2</v>
      </c>
      <c r="BF5" s="94">
        <v>2</v>
      </c>
      <c r="BG5" s="93">
        <v>0</v>
      </c>
      <c r="BH5" s="94">
        <v>2</v>
      </c>
      <c r="BI5" s="93">
        <v>0</v>
      </c>
      <c r="BJ5" s="94">
        <v>1</v>
      </c>
      <c r="BK5" s="93">
        <v>2</v>
      </c>
      <c r="BL5" s="94">
        <v>1</v>
      </c>
      <c r="BM5" s="95">
        <v>1</v>
      </c>
      <c r="BN5" s="97">
        <v>0</v>
      </c>
      <c r="BO5" s="98">
        <v>1</v>
      </c>
      <c r="BP5" s="99">
        <v>1</v>
      </c>
      <c r="BQ5" s="98">
        <v>0</v>
      </c>
      <c r="BR5" s="99">
        <v>2</v>
      </c>
      <c r="BS5" s="98">
        <v>0</v>
      </c>
      <c r="BT5" s="99">
        <v>0</v>
      </c>
      <c r="BU5" s="98">
        <v>1</v>
      </c>
      <c r="BV5" s="99">
        <v>0</v>
      </c>
      <c r="BW5" s="98">
        <v>1</v>
      </c>
      <c r="BX5" s="99">
        <v>0</v>
      </c>
      <c r="BY5" s="98">
        <v>1</v>
      </c>
      <c r="BZ5" s="99">
        <v>1</v>
      </c>
      <c r="CA5" s="98">
        <v>2</v>
      </c>
      <c r="CB5" s="99">
        <v>1</v>
      </c>
      <c r="CC5" s="98">
        <v>3</v>
      </c>
      <c r="CD5" s="99">
        <v>2</v>
      </c>
      <c r="CE5" s="98">
        <v>0</v>
      </c>
      <c r="CF5" s="99">
        <v>0</v>
      </c>
      <c r="CG5" s="98">
        <v>2</v>
      </c>
      <c r="CH5" s="99">
        <v>2</v>
      </c>
      <c r="CI5" s="98">
        <v>1</v>
      </c>
      <c r="CJ5" s="99">
        <v>0</v>
      </c>
      <c r="CK5" s="98">
        <v>3</v>
      </c>
      <c r="CL5" s="99">
        <v>1</v>
      </c>
      <c r="CM5" s="98">
        <v>1</v>
      </c>
      <c r="CN5" s="99">
        <v>1</v>
      </c>
      <c r="CO5" s="98">
        <v>1</v>
      </c>
      <c r="CP5" s="99">
        <v>0</v>
      </c>
      <c r="CQ5" s="98">
        <v>2</v>
      </c>
      <c r="CR5" s="99">
        <v>2</v>
      </c>
      <c r="CS5" s="100">
        <v>1</v>
      </c>
      <c r="CT5" s="21"/>
      <c r="CU5" s="22"/>
      <c r="CV5" s="23"/>
      <c r="CW5" s="96">
        <v>1</v>
      </c>
      <c r="CX5" s="91">
        <v>2</v>
      </c>
      <c r="CY5" s="90">
        <v>6</v>
      </c>
      <c r="CZ5" s="91">
        <v>5</v>
      </c>
      <c r="DA5" s="90">
        <v>5</v>
      </c>
      <c r="DB5" s="91">
        <v>6</v>
      </c>
      <c r="DC5" s="90">
        <v>2</v>
      </c>
      <c r="DD5" s="91">
        <v>1</v>
      </c>
      <c r="DE5" s="90">
        <v>3</v>
      </c>
      <c r="DF5" s="91">
        <v>0</v>
      </c>
      <c r="DG5" s="90">
        <v>2</v>
      </c>
      <c r="DH5" s="91">
        <v>0</v>
      </c>
      <c r="DI5" s="90">
        <v>2</v>
      </c>
      <c r="DJ5" s="91">
        <v>0</v>
      </c>
      <c r="DK5" s="90">
        <v>1</v>
      </c>
      <c r="DL5" s="91">
        <v>2</v>
      </c>
      <c r="DM5" s="48"/>
      <c r="DN5" s="29"/>
      <c r="DO5" s="30"/>
      <c r="DP5" s="90">
        <v>2</v>
      </c>
      <c r="DQ5" s="91">
        <v>0</v>
      </c>
      <c r="DR5" s="90">
        <v>5</v>
      </c>
      <c r="DS5" s="91">
        <v>6</v>
      </c>
      <c r="DT5" s="90">
        <v>2</v>
      </c>
      <c r="DU5" s="91">
        <v>0</v>
      </c>
      <c r="DV5" s="90">
        <v>2</v>
      </c>
      <c r="DW5" s="91">
        <v>1</v>
      </c>
      <c r="DX5" s="27"/>
      <c r="DY5" s="25"/>
      <c r="DZ5" s="26"/>
      <c r="EA5" s="90">
        <v>0</v>
      </c>
      <c r="EB5" s="91">
        <v>2</v>
      </c>
      <c r="EC5" s="90">
        <v>2</v>
      </c>
      <c r="ED5" s="91">
        <v>1</v>
      </c>
      <c r="EE5" s="21"/>
      <c r="EF5" s="22"/>
      <c r="EG5" s="23"/>
      <c r="EH5" s="147">
        <v>0</v>
      </c>
      <c r="EI5" s="148">
        <v>3</v>
      </c>
      <c r="EJ5" s="21"/>
      <c r="EK5" s="22"/>
      <c r="EL5" s="23"/>
      <c r="EM5" s="149">
        <v>1</v>
      </c>
      <c r="EN5" s="150">
        <v>2</v>
      </c>
      <c r="EO5" s="101"/>
      <c r="EP5" s="21"/>
      <c r="EQ5" s="22"/>
      <c r="ER5" s="23"/>
    </row>
    <row r="6" spans="1:148" s="151" customFormat="1" ht="16.5" thickBot="1" x14ac:dyDescent="0.35">
      <c r="A6" s="42"/>
      <c r="B6" s="159">
        <f>IF($B$3="","",IF($B$3=B5,2,0)+IF($C$3=C5,2,0)+IF(OR(AND($B$3&gt;$C$3,B5 &gt; C5),AND($B$3 &lt; $C$3,B5&lt;C5),AND($B$3 = $C$3,B5 = C5)),5,0))</f>
        <v>7</v>
      </c>
      <c r="C6" s="160"/>
      <c r="D6" s="154">
        <f>IF($D$3="","",IF($D$3=D5,2,0)+IF($E$3=E5,2,0)+IF(OR(AND($D$3&gt;$E$3,D5 &gt; E5),AND($D$3 &lt; $E$3,D5&lt;E5),AND($D$3 = $E$3,D5 = E5)),5,0))</f>
        <v>7</v>
      </c>
      <c r="E6" s="160"/>
      <c r="F6" s="154" t="str">
        <f>IF($F$3="","",IF($F$3=F5,2,0)+IF($G$3=G5,2,0)+IF(OR(AND($F$3&gt;$G$3,F5 &gt; G5),AND($F$3 &lt; $G$3,F5&lt;G5),AND($F$3 = $G$3,F5 = G5)),5,0))</f>
        <v/>
      </c>
      <c r="G6" s="160"/>
      <c r="H6" s="154" t="str">
        <f>IF($H$3="","",IF($H$3=H5,2,0)+IF($I$3=I5,2,0)+IF(OR(AND($H$3&gt;$I$3,H5 &gt; I5),AND($H$3 &lt; $I$3,H5&lt;I5),AND($H$3 = $I$3,H5 = I5)),5,0))</f>
        <v/>
      </c>
      <c r="I6" s="160"/>
      <c r="J6" s="154" t="str">
        <f>IF($J$3="","",IF($J$3=J5,2,0)+IF($K$3=K5,2,0)+IF(OR(AND($J$3&gt;$K$3,J5 &gt; K5),AND($J$3 &lt; $K$3,J5&lt;K5),AND($J$3 = $K$3,J5 = K5)),5,0))</f>
        <v/>
      </c>
      <c r="K6" s="160"/>
      <c r="L6" s="154" t="str">
        <f>IF($L$3="","",IF($L$3=L5,2,0)+IF($M$3=M5,2,0)+IF(OR(AND($L$3&gt;$M$3,L5 &gt; M5),AND($L$3 &lt; $M$3,L5&lt;M5),AND($L$3 = $M$3,L5 = M5)),5,0))</f>
        <v/>
      </c>
      <c r="M6" s="160"/>
      <c r="N6" s="154" t="str">
        <f>IF($N$3="","",IF($N$3=N5,2,0)+IF($O$3=O5,2,0)+IF(OR(AND($N$3&gt;$O$3,N5 &gt; O5),AND($N$3 &lt; $O$3,N5&lt;O5),AND($N$3 = $O$3,N5 = O5)),5,0))</f>
        <v/>
      </c>
      <c r="O6" s="160"/>
      <c r="P6" s="154" t="str">
        <f>IF($P$3="","",IF($P$3=P5,2,0)+IF($Q$3=Q5,2,0)+IF(OR(AND($P$3&gt;$Q$3,P5 &gt; Q5),AND($P$3 &lt; $Q$3,P5&lt;Q5),AND($P$3 = $Q$3,P5 = Q5)),5,0))</f>
        <v/>
      </c>
      <c r="Q6" s="160"/>
      <c r="R6" s="154" t="str">
        <f>IF($R$3="","",IF($R$3=R5,2,0)+IF($S$3=S5,2,0)+IF(OR(AND($R$3&gt;$S$3,R5 &gt; S5),AND($R$3 &lt; $S$3,R5&lt;S5),AND($R$3 = $S$3,R5 = S5)),5,0))</f>
        <v/>
      </c>
      <c r="S6" s="160"/>
      <c r="T6" s="154" t="str">
        <f>IF($T$3="","",IF($T$3=T5,2,0)+IF($U$3=U5,2,0)+IF(OR(AND($T$3&gt;$U$3,T5 &gt; U5),AND($T$3 &lt; $U$3,T5&lt;U5),AND($T$3 = $U$3,T5 = U5)),5,0))</f>
        <v/>
      </c>
      <c r="U6" s="160"/>
      <c r="V6" s="154" t="str">
        <f>IF($V$3="","",IF($V$3=V5,2,0)+IF($W$3=W5,2,0)+IF(OR(AND($V$3&gt;$W$3,V5 &gt; W5),AND($V$3 &lt; $W$3,V5&lt;W5),AND($V$3 = $W$3,V5 = W5)),5,0))</f>
        <v/>
      </c>
      <c r="W6" s="160"/>
      <c r="X6" s="154" t="str">
        <f>IF($X$3="","",IF($X$3=X5,2,0)+IF($Y$3=$Y$5,2,0)+IF(OR(AND($X$3&gt;$Y$3,X5 &gt; Y5),AND($X$3 &lt; $Y$3,X5&lt;Y5),AND($X$3 = $Y$3,X5 = Y5)),5,0))</f>
        <v/>
      </c>
      <c r="Y6" s="160"/>
      <c r="Z6" s="154" t="str">
        <f>IF($Z$3="","",IF($Z$3=Z5,2,0)+IF($AA$3=AA5,2,0)+IF(OR(AND($Z$3&gt;$AA$3,Z5 &gt; AA5),AND($Z$3 &lt; $AA$3,Z5&lt;AA5),AND($Z$3 = $AA$3,Z5 = AA5)),5,0))</f>
        <v/>
      </c>
      <c r="AA6" s="160"/>
      <c r="AB6" s="154" t="str">
        <f>IF($AB$3="","",IF($AB$3=AB5,2,0)+IF($AC$3=AC5,2,0)+IF(OR(AND($AB$3&gt;$AC$3,AB5 &gt; AC5),AND($AB$3 &lt; $AC$3,AB5&lt;AC5),AND($AB$3 = $AC$3,AB5 = AC5)),5,0))</f>
        <v/>
      </c>
      <c r="AC6" s="160"/>
      <c r="AD6" s="154" t="str">
        <f>IF($AD$3="","",IF($AD$3=AD5,2,0)+IF($AE$3=AE5,2,0)+IF(OR(AND($AD$3&gt;$AE$3,AD5 &gt; AE5),AND($AD$3 &lt; $AE$3,AD5&lt;AE5),AND($AD$3 = $AE$3,AD5 = AE5)),5,0))</f>
        <v/>
      </c>
      <c r="AE6" s="160"/>
      <c r="AF6" s="154" t="str">
        <f>IF($AF$3="","",IF($AF$3=AF5,2,0)+IF($AG$3=AG5,2,0)+IF(OR(AND($AF$3&gt;$AG$3,AF5 &gt; AG5),AND($AF$3 &lt; $AG$3,AF5&lt;AG5),AND($AF$3 = $AG$3,AF5 = AG5)),5,0))</f>
        <v/>
      </c>
      <c r="AG6" s="155"/>
      <c r="AH6" s="159" t="str">
        <f>IF($AH$3="","",IF($AH$3=AH5,2,0)+IF($AI$3=AI5,2,0)+IF(OR(AND($AH$3&gt;$AI$3,AH5 &gt; AI5),AND($AH$3 &lt; $AI$3,AH5&lt;AI5),AND($AH$3 = $AI$3,AH5 = AI5)),5,0))</f>
        <v/>
      </c>
      <c r="AI6" s="160"/>
      <c r="AJ6" s="154" t="str">
        <f>IF($AJ$3="","",IF($AJ$3=AJ5,2,0)+IF($AK$3=AK5,2,0)+IF(OR(AND($AJ$3&gt;$AK$3,AJ5 &gt; AK5),AND($AJ$3 &lt; $AK$3,AJ5&lt;AK5),AND($AJ$3 = $AK$3,AJ5 = AK5)),5,0))</f>
        <v/>
      </c>
      <c r="AK6" s="160"/>
      <c r="AL6" s="154" t="str">
        <f>IF($AL$3="","",IF($AL$3=AL5,2,0)+IF($AM$3=AM5,2,0)+IF(OR(AND($AL$3&gt;$AM$3,AL5 &gt; AM5),AND($AL$3 &lt; $AM$3,AL5&lt;AM5),AND($AL$3 = $AM$3,AL5 = AM5)),5,0))</f>
        <v/>
      </c>
      <c r="AM6" s="160"/>
      <c r="AN6" s="154" t="str">
        <f>IF($AN$3="","",IF($AN$3=AN5,2,0)+IF($AO$3=AO5,2,0)+IF(OR(AND($AN$3&gt;$AO$3,AN5 &gt; AO5),AND($AN$3 &lt; $AO$3,AN5&lt;AO5),AND($AN$3 = $AO$3,AN5 = AO5)),5,0))</f>
        <v/>
      </c>
      <c r="AO6" s="160"/>
      <c r="AP6" s="154" t="str">
        <f>IF($AP$3="","",IF($AP$3=AP5,2,0)+IF($AQ$3=AQ5,2,0)+IF(OR(AND($AP$3&gt;$AQ$3,AP5 &gt; AQ5),AND($AP$3 &lt; $AQ$3,AP5&lt;AQ5),AND($AP$3 = $AQ$3,AP5 = AQ5)),5,0))</f>
        <v/>
      </c>
      <c r="AQ6" s="160"/>
      <c r="AR6" s="154" t="str">
        <f>IF($AR$3="","",IF($AR$3=AR5,2,0)+IF($AS$3=AS5,2,0)+IF(OR(AND($AR$3&gt;$AS$3,AR5 &gt; AS5),AND($AR$3 &lt; $AS$3,AR5&lt;AS5),AND($AR$3 = $AS$3,AR5 = AS5)),5,0))</f>
        <v/>
      </c>
      <c r="AS6" s="160"/>
      <c r="AT6" s="154" t="str">
        <f>IF($AT$3="","",IF($AT$3=AT5,2,0)+IF($AU$3=AU5,2,0)+IF(OR(AND($AT$3&gt;$AU$3,AT5 &gt; AU5),AND($AT$3 &lt; $AU$3,AT5&lt;AU5),AND($AT$3 = $AU$3,AT5 = AU5)),5,0))</f>
        <v/>
      </c>
      <c r="AU6" s="160"/>
      <c r="AV6" s="154" t="str">
        <f>IF($AV$3="","",IF($AV$3=AV5,2,0)+IF($AW$3=AW5,2,0)+IF(OR(AND($AV$3&gt;$AW$3,AV5 &gt; AW5),AND($AV$3 &lt; $AW$3,AV5&lt;AW5),AND($AV$3 = $AW$3,AV5 = AW5)),5,0))</f>
        <v/>
      </c>
      <c r="AW6" s="160"/>
      <c r="AX6" s="154" t="str">
        <f>IF($AX$3="","",IF($AX$3=AX5,2,0)+IF($AY$3=AY5,2,0)+IF(OR(AND($AX$3&gt;$AY$3,AX5 &gt; AY5),AND($AX$3 &lt; $AY$3,AX5&lt;AY5),AND($AX$3 = $AY$3,AX5 = AY5)),5,0))</f>
        <v/>
      </c>
      <c r="AY6" s="160"/>
      <c r="AZ6" s="154" t="str">
        <f>IF($AZ$3="","",IF($AZ$3=AZ5,2,0)+IF($BA$3=BA5,2,0)+IF(OR(AND($AZ$3&gt;$BA$3,AZ5 &gt; BA5),AND($AZ$3 &lt; $BA$3,AZ5&lt;BA5),AND($AZ$3 = $BA$3,AZ5 = BA5)),5,0))</f>
        <v/>
      </c>
      <c r="BA6" s="160"/>
      <c r="BB6" s="154" t="str">
        <f>IF($BB$3="","",IF($BB$3=BB5,2,0)+IF($BC$3=BC5,2,0)+IF(OR(AND($BB$3&gt;$BC$3,BB5 &gt; BC5),AND($BB$3 &lt; $BC$3,BB5&lt;BC5),AND($BB$3 = $BC$3,BB5 = BC5)),5,0))</f>
        <v/>
      </c>
      <c r="BC6" s="160"/>
      <c r="BD6" s="154" t="str">
        <f>IF($BD$3="","",IF($BD$3=BD5,2,0)+IF($BE$3=BE5,2,0)+IF(OR(AND($BD$3&gt;$BE$3,BD5 &gt; BE5),AND($BD$3 &lt; $BE$3,BD5&lt;BE5),AND($BD$3 = $BE$3,BD5 = BE5)),5,0))</f>
        <v/>
      </c>
      <c r="BE6" s="160"/>
      <c r="BF6" s="154" t="str">
        <f>IF($BF$3="","",IF($BF$3=BF5,2,0)+IF($BG$3=BG5,2,0)+IF(OR(AND($BF$3&gt;$BG$3,BF5 &gt; BG5),AND($BF$3 &lt; $BG$3,BF5&lt;BG5),AND($BF$3 = $BG$3,BF5 = BG5)),5,0))</f>
        <v/>
      </c>
      <c r="BG6" s="160"/>
      <c r="BH6" s="154" t="str">
        <f>IF($BH$3="","",IF($BH$3=BH5,2,0)+IF($BI$3=BI5,2,0)+IF(OR(AND($BH$3&gt;$BI$3,BH5 &gt; BI5),AND($BH$3 &lt; $BI$3,BH5&lt;BI5),AND($BH$3 = $BI$3,BH5 = BI5)),5,0))</f>
        <v/>
      </c>
      <c r="BI6" s="160"/>
      <c r="BJ6" s="154" t="str">
        <f>IF($BJ$3="","",IF($BJ$3=BJ5,2,0)+IF($BK$3=BK5,2,0)+IF(OR(AND($BJ$3&gt;$BK$3,BJ5 &gt; BK5),AND($BJ$3 &lt; $BK$3,BJ5&lt;BK5),AND($BJ$3 = $BK$3,BJ5 = BK5)),5,0))</f>
        <v/>
      </c>
      <c r="BK6" s="160"/>
      <c r="BL6" s="154" t="str">
        <f>IF($BL$3="","",IF($BL$3=BL5,2,0)+IF($BM$3=BM5,2,0)+IF(OR(AND($BL$3&gt;$BM$3,BL5 &gt; BM5),AND($BL$3 &lt; $BM$3,BL5&lt;BM5),AND($BL$3 = $BM$3,BL5 = BM5)),5,0))</f>
        <v/>
      </c>
      <c r="BM6" s="155"/>
      <c r="BN6" s="159" t="str">
        <f>IF($BN$3="","",IF($BN$3=BN5,2,0)+IF($BO$3=BO5,2,0)+IF(OR(AND($BN$3&gt;$BO$3,BN5 &gt; BO5),AND($BN$3 &lt; $BO$3,BN5&lt;BO5),AND($BN$3 = $BO$3,BN5 = BO5)),5,0))</f>
        <v/>
      </c>
      <c r="BO6" s="160"/>
      <c r="BP6" s="154" t="str">
        <f>IF($BP$3="","",IF($BP$3=BP5,2,0)+IF($BQ$3=BQ5,2,0)+IF(OR(AND($BP$3&gt;$BQ$3,BP5 &gt; BQ5),AND($BP$3 &lt; $BQ$3,BP5&lt;BQ5),AND($BP$3 = $BQ$3,BP5 = BQ5)),5,0))</f>
        <v/>
      </c>
      <c r="BQ6" s="160"/>
      <c r="BR6" s="154" t="str">
        <f>IF($BR$3="","",IF($BR$3=BR5,2,0)+IF($BS$3=BS5,2,0)+IF(OR(AND($BR$3&gt;$BS$3,BR5 &gt; BS5),AND($BR$3 &lt; $BS$3,BR5&lt;BS5),AND($BR$3 = $BS$3,BR5 = BS5)),5,0))</f>
        <v/>
      </c>
      <c r="BS6" s="160"/>
      <c r="BT6" s="154" t="str">
        <f>IF($BT$3="","",IF($BT$3=BT5,2,0)+IF($BU$3=BU5,2,0)+IF(OR(AND($BT$3&gt;$BU$3,BT5 &gt; BU5),AND($BT$3 &lt; $BU$3,BT5&lt;BU5),AND($BT$3 = $BU$3,BT5 = BU5)),5,0))</f>
        <v/>
      </c>
      <c r="BU6" s="160"/>
      <c r="BV6" s="154" t="str">
        <f>IF($BV$3="","",IF($BV$3=BV5,2,0)+IF($BW$3=BW5,2,0)+IF(OR(AND($BV$3&gt;$BW$3,BV5 &gt; BW5),AND($BV$3 &lt; $BW$3,BV5&lt;BW5),AND($BV$3 = $BW$3,BV5 = BW5)),5,0))</f>
        <v/>
      </c>
      <c r="BW6" s="160"/>
      <c r="BX6" s="154" t="str">
        <f>IF($BX$3="","",IF($BX$3=BX5,2,0)+IF($BY$3=BY5,2,0)+IF(OR(AND($BX$3&gt;$BY$3,BX5 &gt; BY5),AND($BX$3 &lt; $BY$3,BX5&lt;BY5),AND($BX$3 = $BY$3,BX5 = BY5)),5,0))</f>
        <v/>
      </c>
      <c r="BY6" s="160"/>
      <c r="BZ6" s="154" t="str">
        <f>IF($BZ$3="","",IF($BZ$3=BZ5,2,0)+IF($CA$3=CA5,2,0)+IF(OR(AND($BZ$3&gt;$CA$3,BZ5 &gt; CA5),AND($BZ$3 &lt; $CA$3,BZ5&lt;CA5),AND($BZ$3 = $CA$3,BZ5 = CA5)),5,0))</f>
        <v/>
      </c>
      <c r="CA6" s="160"/>
      <c r="CB6" s="154" t="str">
        <f>IF($CB$3="","",IF($CB$3=CB5,2,0)+IF($CC$3=CC5,2,0)+IF(OR(AND($CB$3&gt;$CC$3,CB5 &gt; CC5),AND($CB$3 &lt; $CC$3,CB5&lt;CC5),AND($CB$3 = $CC$3,CB5 = CC5)),5,0))</f>
        <v/>
      </c>
      <c r="CC6" s="160"/>
      <c r="CD6" s="154" t="str">
        <f>IF($CD$3="","",IF($CD$3=CD5,2,0)+IF($CE$3=CE5,2,0)+IF(OR(AND($CD$3&gt;$CE$3,CD5 &gt; CE5),AND($CD$3 &lt; $CE$3,CD5&lt;$CE$5),AND($CD$3 = $CE$3,CD5 = CE5)),5,0))</f>
        <v/>
      </c>
      <c r="CE6" s="160"/>
      <c r="CF6" s="154" t="str">
        <f>IF($CF$3="","",IF($CF$3=CF5,2,0)+IF($CG$3=CG5,2,0)+IF(OR(AND($CF$3&gt;$CG$3,CF5 &gt; CG5),AND($CF$3 &lt; $CG$3,CF5&lt;CG5),AND($CF$3 = $CG$3,CF5 = CG5)),5,0))</f>
        <v/>
      </c>
      <c r="CG6" s="160"/>
      <c r="CH6" s="154" t="str">
        <f>IF($CH$3="","",IF($CH$3=CH5,2,0)+IF($CI$3=CI5,2,0)+IF(OR(AND($CH$3&gt;$CI$3,CH5 &gt; CI5),AND($CH$3 &lt; $CI$3,CH5&lt;CI5),AND($CH$3 = $CI$3,CH5 = CI5)),5,0))</f>
        <v/>
      </c>
      <c r="CI6" s="160"/>
      <c r="CJ6" s="154" t="str">
        <f>IF($CJ$3="","",IF($CJ$3=CJ5,2,0)+IF($CK$3=CK5,2,0)+IF(OR(AND($CJ$3&gt;$CK$3,CJ5 &gt; CK5),AND($CJ$3 &lt; $CK$3,CJ5&lt;CK5),AND($CJ$3 = $CK$3,CJ5 = CK5)),5,0))</f>
        <v/>
      </c>
      <c r="CK6" s="160"/>
      <c r="CL6" s="154" t="str">
        <f>IF($CL$3="","",IF($CL$3=CL5,2,0)+IF($CM$3=CM5,2,0)+IF(OR(AND($CL$3&gt;$CM$3,CL5 &gt; CM5),AND($CL$3 &lt; $CM$3,CL5&lt;CM5),AND($CL$3 = $CM$3,CL5 = CM5)),5,0))</f>
        <v/>
      </c>
      <c r="CM6" s="160"/>
      <c r="CN6" s="154" t="str">
        <f>IF($CN$3="","",IF($CN$3=CN5,2,0)+IF($CO$3=CO5,2,0)+IF(OR(AND($CN$3&gt;$CO$3,CN5 &gt; CO5),AND($CN$3 &lt; $CO$3,CN5&lt;CO5),AND($CN$3 = $CO$3,CN5 = CO5)),5,0))</f>
        <v/>
      </c>
      <c r="CO6" s="160"/>
      <c r="CP6" s="154" t="str">
        <f>IF($CP$3="","",IF($CP$3=CP5,2,0)+IF($CQ$3=CQ5,2,0)+IF(OR(AND($CP$3&gt;$CQ$3,CP5 &gt; CQ5),AND($CP$3 &lt; $CQ$3,CP5&lt;CQ5),AND($CP$3 = $CQ$3,CP5 = CQ5)),5,0))</f>
        <v/>
      </c>
      <c r="CQ6" s="160"/>
      <c r="CR6" s="154" t="str">
        <f>IF($CR$3="","",IF($CR$3=CR5,2,0)+IF($CS$3=CS5,2,0)+IF(OR(AND($CR$3&gt;$CS$3,CR5 &gt; CS5),AND($CR$3 &lt; $CS$3,CR5&lt;CS5),AND($CR$3 = $CS$3,CR5 = CS5)),5,0))</f>
        <v/>
      </c>
      <c r="CS6" s="155"/>
      <c r="CT6" s="24">
        <f>SUM(B6:CS6)</f>
        <v>14</v>
      </c>
      <c r="CU6" s="12">
        <f>IF(AND(CW4=$CW$2,CW4&lt;&gt;""),2,0)+IF(AND(CX4=$CX$2,CX4&lt;&gt;""),2,0)+IF(AND(CY4=$CY$2,CY4&lt;&gt;""),2,0)+IF(AND(CZ4=$CZ$2,CZ4&lt;&gt;""),2,0)+IF(AND(DA4=$DA$2,DA4&lt;&gt;""),2,0)+IF(AND(DB4=$DB$2,DB4&lt;&gt;""),2,0)+IF(AND(DC4=$DC$2,DC4&lt;&gt;""),2,0)+IF(AND(DD4=$DD$2,DD4&lt;&gt;""),2,0)+IF(AND(DE4=$DE$2,DE4&lt;&gt;""),2,0)+IF(AND(DF4=$DF$2,DF4&lt;&gt;""),2,0)+IF(AND(DG4=$DG$2,DG4&lt;&gt;""),2,0)+IF(AND(DH4=$DH$2,DH4&lt;&gt;""),2,0)+IF(AND(DI4=$DI$2,DI4&lt;&gt;""),2,0)+IF(AND(DJ4=$DJ$2,DJ4&lt;&gt;""),2,0)+IF(AND(DK4=$DK$2,DK4&lt;&gt;""),2,0)+IF(AND(DL4=$DL$2,DL4&lt;&gt;""),2,0)</f>
        <v>0</v>
      </c>
      <c r="CV6" s="11">
        <f>CT6+CU6</f>
        <v>14</v>
      </c>
      <c r="CW6" s="159" t="str">
        <f>IF($CW$3="","",IF($CW$3=CW5,2,0)+IF($CX$3=CX5,2,0)+IF(OR(AND($CW$3&gt;$CX$3,CW5 &gt; CX5),AND($CW$3 &lt; $CX$3,CW5&lt;CX5),AND($CW$3 = $CX$3,CW5 = CX5)),5,0))</f>
        <v/>
      </c>
      <c r="CX6" s="160"/>
      <c r="CY6" s="154" t="str">
        <f>IF($CY$3="","",IF($CY$3=CY5,2,0)+IF($CZ$3=CZ5,2,0)+IF(OR(AND($CY$3&gt;$CZ$3,CY5 &gt; CZ5),AND($CY$3 &lt; $CZ$3,CY5&lt;CZ5),AND($CY$3 = $CZ$3,CY5 = CZ5)),5,0))</f>
        <v/>
      </c>
      <c r="CZ6" s="160"/>
      <c r="DA6" s="154" t="str">
        <f>IF($DA3="","",IF($DA$3=DA5,2,0)+IF($DB$3=DB5,2,0)+IF(OR(AND($DA$3&gt;$DB$3,DA5 &gt; DB5),AND($DA$3 &lt; $DB$3,DA5&lt;DB5),AND($DA$3 = $DB$3,DA5 = DB5)),5,0))</f>
        <v/>
      </c>
      <c r="DB6" s="160"/>
      <c r="DC6" s="154" t="str">
        <f>IF($DC$3="","",IF($DC$3=DC5,2,0)+IF($DD$3=DD5,2,0)+IF(OR(AND($DC$3&gt;$DD$3,DC5 &gt; DD5),AND($DC$3 &lt; $DD$3,DC5&lt;DD5),AND($DC$3 = $DD$3,DC5 = DD5)),5,0))</f>
        <v/>
      </c>
      <c r="DD6" s="160"/>
      <c r="DE6" s="154" t="str">
        <f>IF($DE$3="","",IF($DE$3=DE5,2,0)+IF($DF$3=DF5,2,0)+IF(OR(AND($DE$3&gt;$DF$3,DE5 &gt; DF5),AND($DE$3 &lt; $DF$3,DE5&lt;DF5),AND($DE$3 = $DF$3,DE5 = DF5)),5,0))</f>
        <v/>
      </c>
      <c r="DF6" s="160"/>
      <c r="DG6" s="154" t="str">
        <f>IF($DG$3="","",IF($DG$3=DG5,2,0)+IF($DH$3=DH5,2,0)+IF(OR(AND($DG$3&gt;$DH$3,DG5 &gt; DH5),AND($DG$3 &lt; $DH$3,DG5&lt;DH5),AND($DG$3 = $DH$3,DG5 = DH5)),5,0))</f>
        <v/>
      </c>
      <c r="DH6" s="160"/>
      <c r="DI6" s="154" t="str">
        <f>IF($DI$3="","",IF($DI$3=DI5,2,0)+IF($DJ$3=DJ5,2,0)+IF(OR(AND($DI$3&gt;$DJ$3,DI5 &gt; DJ5),AND($DI$3 &lt; $DJ$3,DI5&lt;DJ5),AND($DI$3 = $DJ$3,DI5 = DJ5)),5,0))</f>
        <v/>
      </c>
      <c r="DJ6" s="160"/>
      <c r="DK6" s="154" t="str">
        <f>IF($DK$3="","",IF($DK$3=DK5,2,0)+IF($DL$3=DL5,2,0)+IF(OR(AND($DK$3&gt;$DL$3,DK5 &gt; DL5),AND($DK$3 &lt; $DL$3,DK5&lt;DL5),AND($DK$3 = $DL$3,DK5 = DL5)),5,0))</f>
        <v/>
      </c>
      <c r="DL6" s="155"/>
      <c r="DM6" s="24">
        <f>SUM(CW6:DL6)</f>
        <v>0</v>
      </c>
      <c r="DN6" s="12">
        <f>IF(AND(DP4=$DP$2,DP4&lt;&gt;""),2,0)+IF(AND(DQ4=$DQ$2,DQ4&lt;&gt;""),2,0)+IF(AND(DR4=$DR$2,DR4&lt;&gt;""),2,0)+IF(AND(DS4=$DS$2,DS4&lt;&gt;""),2,0)+IF(AND(DT4=$DT$2,DT4&lt;&gt;""),2,0)+IF(AND(DU4=$DU$2,DU4&lt;&gt;""),2,0)+IF(AND(DV4=$DV$2,DV4&lt;&gt;""),2,0)+IF(AND(DW4=$DW$2,DW4&lt;&gt;""),2,0)</f>
        <v>0</v>
      </c>
      <c r="DO6" s="11">
        <f>CV6+DM6+DN6</f>
        <v>14</v>
      </c>
      <c r="DP6" s="159" t="str">
        <f>IF($DP$3="","",IF($DP$3=DP5,2,0)+IF($DQ$3=DQ5,2,0)+IF(OR(AND($DP$3&gt;$DQ$3,DP5 &gt; DQ5),AND($DP$3 &lt; $DQ$3,DP5&lt;DQ5),AND($DP$3 = $DQ$3,DP5 = DQ5)),5,0))</f>
        <v/>
      </c>
      <c r="DQ6" s="160"/>
      <c r="DR6" s="154" t="str">
        <f>IF($DR$3="","",IF($DR$3=DR5,2,0)+IF($DS$3=DS5,2,0)+IF(OR(AND($DR$3&gt;$DS$3,DR5 &gt; DS5),AND($DR$3 &lt; $DS$3,DR5&lt;DS5),AND($DR$3 = $DS$3,DR5 = DS5)),5,0))</f>
        <v/>
      </c>
      <c r="DS6" s="160"/>
      <c r="DT6" s="154" t="str">
        <f>IF($DT$3="","",IF($DT$3=DT5,2,0)+IF($DU$3=DU5,2,0)+IF(OR(AND($DT$3&gt;$DU$3,DT5 &gt; DU5),AND($DT$3 &lt; $DU$3,DT5&lt;DU5),AND($DT$3 = $DU$3,DT5 = DU5)),5,0))</f>
        <v/>
      </c>
      <c r="DU6" s="160"/>
      <c r="DV6" s="154" t="str">
        <f>IF($DV$3="","",IF($DV3=DV5,2,0)+IF($DW$3=DW5,2,0)+IF(OR(AND($DV$3&gt;$DW$3,DV5 &gt; DW5),AND($DV$3 &lt; $DW$3,DV5&lt;DW5),AND($DV$3 = $DW$3,DV5 = DW5)),5,0))</f>
        <v/>
      </c>
      <c r="DW6" s="155"/>
      <c r="DX6" s="24">
        <f>SUM(DP6:DW6)</f>
        <v>0</v>
      </c>
      <c r="DY6" s="12">
        <f>IF(AND(EA4=$EA$2,EA4&lt;&gt;""),3,0)+IF(AND(EB4=$EB$2,EB4&lt;&gt;""),3,0)+IF(AND(EC4=$EC$2,EC4&lt;&gt;""),3,0)+IF(AND(ED4=$ED$2,ED4&lt;&gt;""),3,0)</f>
        <v>0</v>
      </c>
      <c r="DZ6" s="11">
        <f>DO6+DX6+DY6</f>
        <v>14</v>
      </c>
      <c r="EA6" s="159" t="str">
        <f>IF($EA$3="","",IF($EA$3=EA5,2,0)+IF($EB$3=EB5,2,0)+IF(OR(AND($EA$3&gt;$EB$3,EA5 &gt; EB5),AND($EA$3 &lt; $EB$3,EA5&lt;EB5),AND($EA$3 = $EB$3,EA5 = EB5)),5,0))</f>
        <v/>
      </c>
      <c r="EB6" s="160"/>
      <c r="EC6" s="154" t="str">
        <f>IF($EC$3="","",IF($EC$3=EC5,2,0)+IF($ED$3=ED5,2,0)+IF(OR(AND($EC$3&gt;$ED$3,EC5 &gt; ED5),AND($EC$3 &lt; $ED$3,EC5&lt;ED5),AND($EC$3 = $ED$3,EC5 = ED5)),5,0))</f>
        <v/>
      </c>
      <c r="ED6" s="155"/>
      <c r="EE6" s="24">
        <f>SUM(EA6:ED6)</f>
        <v>0</v>
      </c>
      <c r="EF6" s="12">
        <f>IF(AND(EH4=$EH$2,EH4&lt;&gt;""),3,0)+IF(AND(EI4=$EI$2,EI4&lt;&gt;""),3,0)</f>
        <v>0</v>
      </c>
      <c r="EG6" s="11">
        <f>DZ6+EE6+EF6</f>
        <v>14</v>
      </c>
      <c r="EH6" s="159" t="str">
        <f>IF($EH$3="","",IF($EH$3=EH5,2,0)+IF($EI$3=EI5,2,0)+IF(OR(AND($EH$3&gt;$EI$3,EH5 &gt; EI5),AND($EH$3 &lt; $EI$3,EH5&lt;EI5),AND($EH$3 = $EI$3,EH5 = EI5)),5,0))</f>
        <v/>
      </c>
      <c r="EI6" s="155"/>
      <c r="EJ6" s="24">
        <f>SUM(EH6:EI6)</f>
        <v>0</v>
      </c>
      <c r="EK6" s="12">
        <f>IF(AND(EM4=$EM$2,EM4&lt;&gt;""),5,0)+IF(AND(EN4=$EN$2,EN4&lt;&gt;""),5,0)</f>
        <v>0</v>
      </c>
      <c r="EL6" s="11">
        <f>EG6+EJ6+EK6</f>
        <v>14</v>
      </c>
      <c r="EM6" s="159" t="str">
        <f>IF($EM$3="","",IF($EM$3=EM5,2,0)+IF($EN$3=EN5,2,0)+IF(OR(AND($EM$3&gt;$EN$3,EM5 &gt; EN5),AND($EM$3 &lt; $EN$3,EM5&lt;EN5),AND($EM$3 = $EN$3,EM5 = EN5)),5,0))</f>
        <v/>
      </c>
      <c r="EN6" s="155"/>
      <c r="EO6" s="152"/>
      <c r="EP6" s="8" t="str">
        <f>EM6</f>
        <v/>
      </c>
      <c r="EQ6" s="20">
        <f>IF(AND(EO4=$EO$2,EO4&lt;&gt;""),10,0)</f>
        <v>0</v>
      </c>
      <c r="ER6" s="11" t="e">
        <f>EL6+EP6+EQ6</f>
        <v>#VALUE!</v>
      </c>
    </row>
    <row r="7" spans="1:148" s="145" customFormat="1" ht="24" thickBot="1" x14ac:dyDescent="0.35">
      <c r="A7" s="2"/>
      <c r="B7" s="43"/>
      <c r="C7" s="44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6"/>
      <c r="AH7" s="43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6"/>
      <c r="BN7" s="43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17"/>
      <c r="CU7" s="18"/>
      <c r="CV7" s="19"/>
      <c r="CW7" s="73" t="s">
        <v>10</v>
      </c>
      <c r="CX7" s="74" t="s">
        <v>11</v>
      </c>
      <c r="CY7" s="75" t="s">
        <v>15</v>
      </c>
      <c r="CZ7" s="74" t="s">
        <v>21</v>
      </c>
      <c r="DA7" s="75" t="s">
        <v>19</v>
      </c>
      <c r="DB7" s="74" t="s">
        <v>17</v>
      </c>
      <c r="DC7" s="75" t="s">
        <v>12</v>
      </c>
      <c r="DD7" s="74" t="s">
        <v>7</v>
      </c>
      <c r="DE7" s="75" t="s">
        <v>23</v>
      </c>
      <c r="DF7" s="74" t="s">
        <v>28</v>
      </c>
      <c r="DG7" s="75" t="s">
        <v>34</v>
      </c>
      <c r="DH7" s="74" t="s">
        <v>35</v>
      </c>
      <c r="DI7" s="75" t="s">
        <v>27</v>
      </c>
      <c r="DJ7" s="74" t="s">
        <v>24</v>
      </c>
      <c r="DK7" s="75" t="s">
        <v>37</v>
      </c>
      <c r="DL7" s="74" t="s">
        <v>31</v>
      </c>
      <c r="DM7" s="14"/>
      <c r="DN7" s="15"/>
      <c r="DO7" s="16"/>
      <c r="DP7" s="70" t="s">
        <v>23</v>
      </c>
      <c r="DQ7" s="71" t="s">
        <v>34</v>
      </c>
      <c r="DR7" s="70" t="s">
        <v>10</v>
      </c>
      <c r="DS7" s="71" t="s">
        <v>15</v>
      </c>
      <c r="DT7" s="72" t="s">
        <v>12</v>
      </c>
      <c r="DU7" s="71" t="s">
        <v>19</v>
      </c>
      <c r="DV7" s="70" t="s">
        <v>27</v>
      </c>
      <c r="DW7" s="71" t="s">
        <v>31</v>
      </c>
      <c r="DX7" s="7"/>
      <c r="DY7" s="9"/>
      <c r="DZ7" s="10"/>
      <c r="EA7" s="67" t="s">
        <v>15</v>
      </c>
      <c r="EB7" s="68" t="s">
        <v>23</v>
      </c>
      <c r="EC7" s="69" t="s">
        <v>12</v>
      </c>
      <c r="ED7" s="68" t="s">
        <v>27</v>
      </c>
      <c r="EE7" s="7"/>
      <c r="EF7" s="9"/>
      <c r="EG7" s="10"/>
      <c r="EH7" s="65" t="s">
        <v>15</v>
      </c>
      <c r="EI7" s="66" t="s">
        <v>12</v>
      </c>
      <c r="EJ7" s="7"/>
      <c r="EK7" s="9"/>
      <c r="EL7" s="10"/>
      <c r="EM7" s="63" t="s">
        <v>23</v>
      </c>
      <c r="EN7" s="64" t="s">
        <v>27</v>
      </c>
      <c r="EO7" s="62" t="s">
        <v>46</v>
      </c>
      <c r="EP7" s="7"/>
      <c r="EQ7" s="9"/>
      <c r="ER7" s="10"/>
    </row>
    <row r="8" spans="1:148" s="151" customFormat="1" ht="16.5" thickBot="1" x14ac:dyDescent="0.35">
      <c r="A8" s="146" t="s">
        <v>47</v>
      </c>
      <c r="B8" s="51">
        <v>3</v>
      </c>
      <c r="C8" s="52">
        <v>0</v>
      </c>
      <c r="D8" s="53">
        <v>1</v>
      </c>
      <c r="E8" s="52">
        <v>3</v>
      </c>
      <c r="F8" s="53">
        <v>1</v>
      </c>
      <c r="G8" s="52">
        <v>3</v>
      </c>
      <c r="H8" s="53">
        <v>0</v>
      </c>
      <c r="I8" s="52">
        <v>0</v>
      </c>
      <c r="J8" s="53">
        <v>2</v>
      </c>
      <c r="K8" s="52">
        <v>0</v>
      </c>
      <c r="L8" s="53">
        <v>2</v>
      </c>
      <c r="M8" s="52">
        <v>1</v>
      </c>
      <c r="N8" s="53">
        <v>2</v>
      </c>
      <c r="O8" s="52">
        <v>0</v>
      </c>
      <c r="P8" s="53">
        <v>3</v>
      </c>
      <c r="Q8" s="52">
        <v>1</v>
      </c>
      <c r="R8" s="53">
        <v>4</v>
      </c>
      <c r="S8" s="52">
        <v>0</v>
      </c>
      <c r="T8" s="53">
        <v>0</v>
      </c>
      <c r="U8" s="52">
        <v>0</v>
      </c>
      <c r="V8" s="53">
        <v>3</v>
      </c>
      <c r="W8" s="52">
        <v>1</v>
      </c>
      <c r="X8" s="53">
        <v>1</v>
      </c>
      <c r="Y8" s="52">
        <v>0</v>
      </c>
      <c r="Z8" s="53">
        <v>3</v>
      </c>
      <c r="AA8" s="52">
        <v>0</v>
      </c>
      <c r="AB8" s="53">
        <v>0</v>
      </c>
      <c r="AC8" s="52">
        <v>3</v>
      </c>
      <c r="AD8" s="53">
        <v>2</v>
      </c>
      <c r="AE8" s="52">
        <v>0</v>
      </c>
      <c r="AF8" s="53">
        <v>3</v>
      </c>
      <c r="AG8" s="54">
        <v>1</v>
      </c>
      <c r="AH8" s="51">
        <v>1</v>
      </c>
      <c r="AI8" s="52">
        <v>0</v>
      </c>
      <c r="AJ8" s="53">
        <v>2</v>
      </c>
      <c r="AK8" s="52">
        <v>0</v>
      </c>
      <c r="AL8" s="53">
        <v>3</v>
      </c>
      <c r="AM8" s="52">
        <v>0</v>
      </c>
      <c r="AN8" s="53">
        <v>0</v>
      </c>
      <c r="AO8" s="52">
        <v>5</v>
      </c>
      <c r="AP8" s="53">
        <v>3</v>
      </c>
      <c r="AQ8" s="52">
        <v>1</v>
      </c>
      <c r="AR8" s="53">
        <v>2</v>
      </c>
      <c r="AS8" s="52">
        <v>0</v>
      </c>
      <c r="AT8" s="53">
        <v>2</v>
      </c>
      <c r="AU8" s="52">
        <v>1</v>
      </c>
      <c r="AV8" s="53">
        <v>0</v>
      </c>
      <c r="AW8" s="52">
        <v>0</v>
      </c>
      <c r="AX8" s="53">
        <v>3</v>
      </c>
      <c r="AY8" s="52">
        <v>0</v>
      </c>
      <c r="AZ8" s="53">
        <v>1</v>
      </c>
      <c r="BA8" s="52">
        <v>2</v>
      </c>
      <c r="BB8" s="53">
        <v>2</v>
      </c>
      <c r="BC8" s="52">
        <v>0</v>
      </c>
      <c r="BD8" s="53">
        <v>1</v>
      </c>
      <c r="BE8" s="52">
        <v>2</v>
      </c>
      <c r="BF8" s="53">
        <v>4</v>
      </c>
      <c r="BG8" s="52">
        <v>0</v>
      </c>
      <c r="BH8" s="53">
        <v>2</v>
      </c>
      <c r="BI8" s="52">
        <v>0</v>
      </c>
      <c r="BJ8" s="53">
        <v>1</v>
      </c>
      <c r="BK8" s="52">
        <v>2</v>
      </c>
      <c r="BL8" s="53">
        <v>1</v>
      </c>
      <c r="BM8" s="54">
        <v>1</v>
      </c>
      <c r="BN8" s="55">
        <v>0</v>
      </c>
      <c r="BO8" s="56">
        <v>1</v>
      </c>
      <c r="BP8" s="57">
        <v>1</v>
      </c>
      <c r="BQ8" s="56">
        <v>0</v>
      </c>
      <c r="BR8" s="57">
        <v>3</v>
      </c>
      <c r="BS8" s="56">
        <v>0</v>
      </c>
      <c r="BT8" s="57">
        <v>0</v>
      </c>
      <c r="BU8" s="56">
        <v>3</v>
      </c>
      <c r="BV8" s="57">
        <v>0</v>
      </c>
      <c r="BW8" s="56">
        <v>1</v>
      </c>
      <c r="BX8" s="57">
        <v>1</v>
      </c>
      <c r="BY8" s="56">
        <v>2</v>
      </c>
      <c r="BZ8" s="57">
        <v>0</v>
      </c>
      <c r="CA8" s="56">
        <v>2</v>
      </c>
      <c r="CB8" s="57">
        <v>0</v>
      </c>
      <c r="CC8" s="56">
        <v>2</v>
      </c>
      <c r="CD8" s="57">
        <v>1</v>
      </c>
      <c r="CE8" s="56">
        <v>1</v>
      </c>
      <c r="CF8" s="57">
        <v>0</v>
      </c>
      <c r="CG8" s="56">
        <v>2</v>
      </c>
      <c r="CH8" s="57">
        <v>2</v>
      </c>
      <c r="CI8" s="56">
        <v>1</v>
      </c>
      <c r="CJ8" s="57">
        <v>0</v>
      </c>
      <c r="CK8" s="56">
        <v>4</v>
      </c>
      <c r="CL8" s="57">
        <v>0</v>
      </c>
      <c r="CM8" s="56">
        <v>0</v>
      </c>
      <c r="CN8" s="57">
        <v>3</v>
      </c>
      <c r="CO8" s="56">
        <v>2</v>
      </c>
      <c r="CP8" s="57">
        <v>1</v>
      </c>
      <c r="CQ8" s="56">
        <v>1</v>
      </c>
      <c r="CR8" s="57">
        <v>0</v>
      </c>
      <c r="CS8" s="58">
        <v>2</v>
      </c>
      <c r="CT8" s="21"/>
      <c r="CU8" s="22"/>
      <c r="CV8" s="23"/>
      <c r="CW8" s="59">
        <v>6</v>
      </c>
      <c r="CX8" s="60">
        <v>5</v>
      </c>
      <c r="CY8" s="61">
        <v>3</v>
      </c>
      <c r="CZ8" s="60">
        <v>1</v>
      </c>
      <c r="DA8" s="61">
        <v>3</v>
      </c>
      <c r="DB8" s="60">
        <v>0</v>
      </c>
      <c r="DC8" s="61">
        <v>4</v>
      </c>
      <c r="DD8" s="60">
        <v>0</v>
      </c>
      <c r="DE8" s="61">
        <v>3</v>
      </c>
      <c r="DF8" s="60">
        <v>1</v>
      </c>
      <c r="DG8" s="61">
        <v>2</v>
      </c>
      <c r="DH8" s="60">
        <v>0</v>
      </c>
      <c r="DI8" s="61">
        <v>3</v>
      </c>
      <c r="DJ8" s="60">
        <v>0</v>
      </c>
      <c r="DK8" s="61">
        <v>1</v>
      </c>
      <c r="DL8" s="60">
        <v>2</v>
      </c>
      <c r="DM8" s="48"/>
      <c r="DN8" s="29"/>
      <c r="DO8" s="30"/>
      <c r="DP8" s="61">
        <v>3</v>
      </c>
      <c r="DQ8" s="60">
        <v>1</v>
      </c>
      <c r="DR8" s="61">
        <v>0</v>
      </c>
      <c r="DS8" s="60">
        <v>1</v>
      </c>
      <c r="DT8" s="61">
        <v>3</v>
      </c>
      <c r="DU8" s="60">
        <v>1</v>
      </c>
      <c r="DV8" s="61">
        <v>3</v>
      </c>
      <c r="DW8" s="60">
        <v>0</v>
      </c>
      <c r="DX8" s="27"/>
      <c r="DY8" s="25"/>
      <c r="DZ8" s="26"/>
      <c r="EA8" s="61">
        <v>1</v>
      </c>
      <c r="EB8" s="60">
        <v>2</v>
      </c>
      <c r="EC8" s="61">
        <v>0</v>
      </c>
      <c r="ED8" s="60">
        <v>2</v>
      </c>
      <c r="EE8" s="21"/>
      <c r="EF8" s="22"/>
      <c r="EG8" s="23"/>
      <c r="EH8" s="61">
        <v>0</v>
      </c>
      <c r="EI8" s="60">
        <v>2</v>
      </c>
      <c r="EJ8" s="21"/>
      <c r="EK8" s="22"/>
      <c r="EL8" s="23"/>
      <c r="EM8" s="61">
        <v>0</v>
      </c>
      <c r="EN8" s="60">
        <v>1</v>
      </c>
      <c r="EO8" s="153"/>
      <c r="EP8" s="21"/>
      <c r="EQ8" s="22"/>
      <c r="ER8" s="23"/>
    </row>
    <row r="9" spans="1:148" s="151" customFormat="1" ht="16.5" thickBot="1" x14ac:dyDescent="0.35">
      <c r="A9" s="42"/>
      <c r="B9" s="156">
        <f>IF($B$3="","",IF($B$3=B8,2,0)+IF($C$3=C8,2,0)+IF(OR(AND($B$3&gt;$C$3,B8 &gt; C8),AND($B$3 &lt; $C$3,B8&lt;C8),AND($B$3 = $C$3,B8 = C8)),5,0))</f>
        <v>7</v>
      </c>
      <c r="C9" s="161"/>
      <c r="D9" s="157">
        <f>IF($D$3="","",IF($D$3=D8,2,0)+IF($E$3=E8,2,0)+IF(OR(AND($D$3&gt;$E$3,D8 &gt; E8),AND($D$3 &lt; $E$3,D8&lt;E8),AND($D$3 = $E$3,D8 = E8)),5,0))</f>
        <v>5</v>
      </c>
      <c r="E9" s="157"/>
      <c r="F9" s="157" t="str">
        <f>IF($F$3="","",IF($F$3=F8,2,0)+IF($G$3=G8,2,0)+IF(OR(AND($F$3&gt;$G$3,F8 &gt; G8),AND($F$3 &lt; $G$3,F8&lt;G8),AND($F$3 = $G$3,F8 = G8)),5,0))</f>
        <v/>
      </c>
      <c r="G9" s="157"/>
      <c r="H9" s="157" t="str">
        <f>IF($H$3="","",IF($H$3=H8,2,0)+IF($I$3=I8,2,0)+IF(OR(AND($H$3&gt;$I$3,H8 &gt; I8),AND($H$3 &lt; $I$3,H8&lt;I8),AND($H$3 = $I$3,H8 = I8)),5,0))</f>
        <v/>
      </c>
      <c r="I9" s="157"/>
      <c r="J9" s="157" t="str">
        <f>IF($J$3="","",IF($J$3=J8,2,0)+IF($K$3=K8,2,0)+IF(OR(AND($J$3&gt;$K$3,J8 &gt; K8),AND($J$3 &lt; $K$3,J8&lt;K8),AND($J$3 = $K$3,J8 = K8)),5,0))</f>
        <v/>
      </c>
      <c r="K9" s="157"/>
      <c r="L9" s="157" t="str">
        <f>IF($L$3="","",IF($L$3=L8,2,0)+IF($M$3=M8,2,0)+IF(OR(AND($L$3&gt;$M$3,L8 &gt; M8),AND($L$3 &lt; $M$3,L8&lt;M8),AND($L$3 = $M$3,L8 = M8)),5,0))</f>
        <v/>
      </c>
      <c r="M9" s="157"/>
      <c r="N9" s="157" t="str">
        <f>IF($N$3="","",IF($N$3=N8,2,0)+IF($O$3=O8,2,0)+IF(OR(AND($N$3&gt;$O$3,N8 &gt; O8),AND($N$3 &lt; $O$3,N8&lt;O8),AND($N$3 = $O$3,N8 = O8)),5,0))</f>
        <v/>
      </c>
      <c r="O9" s="157"/>
      <c r="P9" s="157" t="str">
        <f>IF($P$3="","",IF($P$3=P8,2,0)+IF($Q$3=Q8,2,0)+IF(OR(AND($P$3&gt;$Q$3,P8 &gt; Q8),AND($P$3 &lt; $Q$3,P8&lt;Q8),AND($P$3 = $Q$3,P8 = Q8)),5,0))</f>
        <v/>
      </c>
      <c r="Q9" s="157"/>
      <c r="R9" s="157" t="str">
        <f>IF($R$3="","",IF($R$3=R8,2,0)+IF($S$3=S8,2,0)+IF(OR(AND($R$3&gt;$S$3,R8 &gt; S8),AND($R$3 &lt; $S$3,R8&lt;S8),AND($R$3 = $S$3,R8 = S8)),5,0))</f>
        <v/>
      </c>
      <c r="S9" s="157"/>
      <c r="T9" s="157" t="str">
        <f>IF($T$3="","",IF($T$3=T8,2,0)+IF($U$3=U8,2,0)+IF(OR(AND($T$3&gt;$U$3,T8 &gt; U8),AND($T$3 &lt; $U$3,T8&lt;U8),AND($T$3 = $U$3,T8 = U8)),5,0))</f>
        <v/>
      </c>
      <c r="U9" s="157"/>
      <c r="V9" s="157" t="str">
        <f>IF($V$3="","",IF($V$3=V8,2,0)+IF($W$3=W8,2,0)+IF(OR(AND($V$3&gt;$W$3,V8 &gt; W8),AND($V$3 &lt; $W$3,V8&lt;W8),AND($V$3 = $W$3,V8 = W8)),5,0))</f>
        <v/>
      </c>
      <c r="W9" s="157"/>
      <c r="X9" s="157" t="str">
        <f>IF($X$3="","",IF($X$3=X8,2,0)+IF($Y$3=Y8,2,0)+IF(OR(AND($X$3&gt;$Y$3,X8 &gt; Y8),AND($X$3 &lt; $Y$3,X8&lt;Y8),AND($X$3 = $Y$3,X8 = Y8)),5,0))</f>
        <v/>
      </c>
      <c r="Y9" s="157"/>
      <c r="Z9" s="157" t="str">
        <f>IF($Z$3="","",IF($Z$3=Z8,2,0)+IF($AA$3=AA8,2,0)+IF(OR(AND($Z$3&gt;$AA$3,Z8 &gt; AA8),AND($Z$3 &lt; $AA$3,Z8&lt;AA8),AND($Z$3 = $AA$3,Z8 = AA8)),5,0))</f>
        <v/>
      </c>
      <c r="AA9" s="157"/>
      <c r="AB9" s="157" t="str">
        <f>IF($AB$3="","",IF($AB$3=AB8,2,0)+IF($AC$3=AC8,2,0)+IF(OR(AND($AB$3&gt;$AC$3,AB8 &gt; AC8),AND($AB$3 &lt; $AC$3,AB8&lt;AC8),AND($AB$3 = $AC$3,AB8 = AC8)),5,0))</f>
        <v/>
      </c>
      <c r="AC9" s="157"/>
      <c r="AD9" s="157" t="str">
        <f>IF($AD$3="","",IF($AD$3=AD8,2,0)+IF($AE$3=AE8,2,0)+IF(OR(AND($AD$3&gt;$AE$3,AD8 &gt; AE8),AND($AD$3 &lt; $AE$3,AD8&lt;AE8),AND($AD$3 = $AE$3,AD8 = AE8)),5,0))</f>
        <v/>
      </c>
      <c r="AE9" s="157"/>
      <c r="AF9" s="157" t="str">
        <f>IF($AF$3="","",IF($AF$3=AF8,2,0)+IF($AG$3=AG8,2,0)+IF(OR(AND($AF$3&gt;$AG$3,AF8 &gt; AG8),AND($AF$3 &lt; $AG$3,AF8&lt;AG8),AND($AF$3 = $AG$3,AF8 = AG8)),5,0))</f>
        <v/>
      </c>
      <c r="AG9" s="158"/>
      <c r="AH9" s="160" t="str">
        <f>IF($AH$3="","",IF($AH$3=AH8,2,0)+IF($AI$3=AI8,2,0)+IF(OR(AND($AH$3&gt;$AI$3,AH8 &gt; AI8),AND($AH$3 &lt; $AI$3,AH8&lt;AI8),AND($AH$3 = $AI$3,AH8 = AI8)),5,0))</f>
        <v/>
      </c>
      <c r="AI9" s="157"/>
      <c r="AJ9" s="157" t="str">
        <f>IF($AJ$3="","",IF($AJ$3=AJ8,2,0)+IF($AK$3=AK8,2,0)+IF(OR(AND($AJ$3&gt;$AK$3,AJ8 &gt; AK8),AND($AJ$3 &lt; $AK$3,AJ8&lt;AK8),AND($AJ$3 = $AK$3,AJ8 = AK8)),5,0))</f>
        <v/>
      </c>
      <c r="AK9" s="157"/>
      <c r="AL9" s="157" t="str">
        <f>IF($AL$3="","",IF($AL$3=AL8,2,0)+IF($AM$3=AM8,2,0)+IF(OR(AND($AL$3&gt;$AM$3,AL8 &gt; AM8),AND($AL$3 &lt; $AM$3,AL8&lt;AM8),AND($AL$3 = $AM$3,AL8 = AM8)),5,0))</f>
        <v/>
      </c>
      <c r="AM9" s="157"/>
      <c r="AN9" s="157" t="str">
        <f>IF($AN$3="","",IF($AN$3=AN8,2,0)+IF($AO$3=AO8,2,0)+IF(OR(AND($AN$3&gt;$AO$3,AN8 &gt; AO8),AND($AN$3 &lt; $AO$3,AN8&lt;AO8),AND($AN$3 = $AO$3,AN8 = AO8)),5,0))</f>
        <v/>
      </c>
      <c r="AO9" s="157"/>
      <c r="AP9" s="157" t="str">
        <f>IF($AP$3="","",IF($AP$3=AP8,2,0)+IF($AQ$3=AQ8,2,0)+IF(OR(AND($AP$3&gt;$AQ$3,AP8 &gt; AQ8),AND($AP$3 &lt; $AQ$3,AP8&lt;AQ8),AND($AP$3 = $AQ$3,AP8 = AQ8)),5,0))</f>
        <v/>
      </c>
      <c r="AQ9" s="157"/>
      <c r="AR9" s="157" t="str">
        <f>IF($AR$3="","",IF($AR$3=AR8,2,0)+IF($AS$3=AS8,2,0)+IF(OR(AND($AR$3&gt;$AS$3,AR8 &gt; AS8),AND($AR$3 &lt; $AS$3,AR8&lt;AS8),AND($AR$3 = $AS$3,AR8 = AS8)),5,0))</f>
        <v/>
      </c>
      <c r="AS9" s="157"/>
      <c r="AT9" s="157" t="str">
        <f>IF($AT$3="","",IF($AT$3=AT8,2,0)+IF($AU$3=AU8,2,0)+IF(OR(AND($AT$3&gt;$AU$3,AT8 &gt; AU8),AND($AT$3 &lt; $AU$3,AT8&lt;AU8),AND($AT$3 = $AU$3,AT8 = AU8)),5,0))</f>
        <v/>
      </c>
      <c r="AU9" s="157"/>
      <c r="AV9" s="157" t="str">
        <f>IF($AV$3="","",IF($AV$3=AV8,2,0)+IF($AW$3=AW8,2,0)+IF(OR(AND($AV$3&gt;$AW$3,AV8 &gt; AW8),AND($AV$3 &lt; $AW$3,AV8&lt;AW8),AND($AV$3 = $AW$3,AV8 = AW8)),5,0))</f>
        <v/>
      </c>
      <c r="AW9" s="157"/>
      <c r="AX9" s="157" t="str">
        <f>IF($AX$3="","",IF($AX$3=AX8,2,0)+IF($AY$3=AY8,2,0)+IF(OR(AND($AX$3&gt;$AY$3,AX8 &gt; AY8),AND($AX$3 &lt; $AY$3,AX8&lt;AY8),AND($AX$3 = $AY$3,AX8 = AY8)),5,0))</f>
        <v/>
      </c>
      <c r="AY9" s="157"/>
      <c r="AZ9" s="157" t="str">
        <f>IF($AZ$3="","",IF($AZ$3=AZ8,2,0)+IF($BA$3=BA8,2,0)+IF(OR(AND($AZ$3&gt;$BA$3,AZ8 &gt; BA8),AND($AZ$3 &lt; $BA$3,AZ8&lt;BA8),AND($AZ$3 = $BA$3,AZ8 = BA8)),5,0))</f>
        <v/>
      </c>
      <c r="BA9" s="157"/>
      <c r="BB9" s="157" t="str">
        <f>IF($BB$3="","",IF($BB$3=BB8,2,0)+IF($BC$3=BC8,2,0)+IF(OR(AND($BB$3&gt;$BC$3,BB8 &gt; BC8),AND($BB$3 &lt; $BC$3,BB8&lt;BC8),AND($BB$3 = $BC$3,BB8 = BC8)),5,0))</f>
        <v/>
      </c>
      <c r="BC9" s="157"/>
      <c r="BD9" s="157" t="str">
        <f>IF($BD$3="","",IF($BD$3=BD8,2,0)+IF($BE$3=BE8,2,0)+IF(OR(AND($BD$3&gt;$BE$3,BD8 &gt; BE8),AND($BD$3 &lt; $BE$3,BD8&lt;BE8),AND($BD$3 = $BE$3,BD8 = BE8)),5,0))</f>
        <v/>
      </c>
      <c r="BE9" s="157"/>
      <c r="BF9" s="157" t="str">
        <f>IF($BF$3="","",IF($BF$3=BF8,2,0)+IF($BG$3=BG8,2,0)+IF(OR(AND($BF$3&gt;$BG$3,BF8 &gt; BG8),AND($BF$3 &lt; $BG$3,BF8&lt;BG8),AND($BF$3 = $BG$3,BF8 = BG8)),5,0))</f>
        <v/>
      </c>
      <c r="BG9" s="157"/>
      <c r="BH9" s="157" t="str">
        <f>IF($BH$3="","",IF($BH$3=BH8,2,0)+IF($BI$3=BI8,2,0)+IF(OR(AND($BH$3&gt;$BI$3,BH8 &gt; BI8),AND($BH$3 &lt; $BI$3,BH8&lt;BI8),AND($BH$3 = $BI$3,BH8 = BI8)),5,0))</f>
        <v/>
      </c>
      <c r="BI9" s="157"/>
      <c r="BJ9" s="157" t="str">
        <f>IF($BJ$3="","",IF($BJ$3=BJ8,2,0)+IF($BK$3=BK8,2,0)+IF(OR(AND($BJ$3&gt;$BK$3,BJ8 &gt; BK8),AND($BJ$3 &lt; $BK$3,BJ8&lt;BK8),AND($BJ$3 = $BK$3,BJ8 = BK8)),5,0))</f>
        <v/>
      </c>
      <c r="BK9" s="157"/>
      <c r="BL9" s="157" t="str">
        <f>IF($BL$3="","",IF($BL$3=BL8,2,0)+IF($BM$3=BM8,2,0)+IF(OR(AND($BL$3&gt;$BM$3,BL8 &gt; BM8),AND($BL$3 &lt; $BM$3,BL8&lt;BM8),AND($BL$3 = $BM$3,BL8 = BM8)),5,0))</f>
        <v/>
      </c>
      <c r="BM9" s="154"/>
      <c r="BN9" s="156" t="str">
        <f>IF($BN$3="","",IF($BN$3=BN8,2,0)+IF($BO$3=BO8,2,0)+IF(OR(AND($BN$3&gt;$BO$3,BN8 &gt; BO8),AND($BN$3 &lt; $BO$3,BN8&lt;BO8),AND($BN$3 = $BO$3,BN8 = BO8)),5,0))</f>
        <v/>
      </c>
      <c r="BO9" s="157"/>
      <c r="BP9" s="157" t="str">
        <f>IF($BP$3="","",IF($BP$3=BP8,2,0)+IF($BQ$3=BQ8,2,0)+IF(OR(AND($BP$3&gt;$BQ$3,BP8 &gt; BQ8),AND($BP$3 &lt; $BQ$3,BP8&lt;BQ8),AND($BP$3 = $BQ$3,BP8 = BQ8)),5,0))</f>
        <v/>
      </c>
      <c r="BQ9" s="157"/>
      <c r="BR9" s="157" t="str">
        <f>IF($BR$3="","",IF($BR$3=BR8,2,0)+IF($BS$3=BS8,2,0)+IF(OR(AND($BR$3&gt;$BS$3,BR8 &gt; BS8),AND($BR$3 &lt; $BS$3,BR8&lt;BS8),AND($BR$3 = $BS$3,BR8 = BS8)),5,0))</f>
        <v/>
      </c>
      <c r="BS9" s="157"/>
      <c r="BT9" s="157" t="str">
        <f>IF($BT$3="","",IF($BT$3=BT8,2,0)+IF($BU$3=BU8,2,0)+IF(OR(AND($BT$3&gt;$BU$3,BT8 &gt; BU8),AND($BT$3 &lt; $BU$3,BT8&lt;BU8),AND($BT$3 = $BU$3,BT8 = BU8)),5,0))</f>
        <v/>
      </c>
      <c r="BU9" s="157"/>
      <c r="BV9" s="157" t="str">
        <f>IF($BV$3="","",IF($BV$3=BV8,2,0)+IF($BW$3=BW8,2,0)+IF(OR(AND($BV$3&gt;$BW$3,BV8 &gt; BW8),AND($BV$3 &lt; $BW$3,BV8&lt;BW8),AND($BV$3 = $BW$3,BV8 = BW8)),5,0))</f>
        <v/>
      </c>
      <c r="BW9" s="157"/>
      <c r="BX9" s="157" t="str">
        <f>IF($BX$3="","",IF($BX$3=BX8,2,0)+IF($BY$3=BY8,2,0)+IF(OR(AND($BX$3&gt;$BY$3,BX8 &gt; BY8),AND($BX$3 &lt; $BY$3,BX8&lt;BY8),AND($BX$3 = $BY$3,BX8 = BY8)),5,0))</f>
        <v/>
      </c>
      <c r="BY9" s="157"/>
      <c r="BZ9" s="157" t="str">
        <f>IF($BZ$3="","",IF($BZ$3=BZ8,2,0)+IF($CA$3=CA8,2,0)+IF(OR(AND($BZ$3&gt;$CA$3,BZ8 &gt; CA8),AND($BZ$3 &lt; $CA$3,BZ8&lt;CA8),AND($BZ$3 = $CA$3,BZ8 = CA8)),5,0))</f>
        <v/>
      </c>
      <c r="CA9" s="157"/>
      <c r="CB9" s="157" t="str">
        <f>IF($CB$3="","",IF($CB$3=CB8,2,0)+IF($CC$3=CC8,2,0)+IF(OR(AND($CB$3&gt;$CC$3,CB8 &gt; CC8),AND($CB$3 &lt; $CC$3,CB8&lt;CC8),AND($CB$3 = $CC$3,CB8 = CC8)),5,0))</f>
        <v/>
      </c>
      <c r="CC9" s="157"/>
      <c r="CD9" s="157" t="str">
        <f>IF($CD$3="","",IF($CD$3=CD8,2,0)+IF($CE$3=CE8,2,0)+IF(OR(AND($CD$3&gt;$CE$3,CD8 &gt; CE8),AND($CD$3 &lt; $CE$3,CD8&lt;$CE$5),AND($CD$3 = $CE$3,CD8 = CE8)),5,0))</f>
        <v/>
      </c>
      <c r="CE9" s="157"/>
      <c r="CF9" s="157" t="str">
        <f>IF($CF$3="","",IF($CF$3=CF8,2,0)+IF($CG$3=CG8,2,0)+IF(OR(AND($CF$3&gt;$CG$3,CF8 &gt; CG8),AND($CF$3 &lt; $CG$3,CF8&lt;CG8),AND($CF$3 = $CG$3,CF8 = CG8)),5,0))</f>
        <v/>
      </c>
      <c r="CG9" s="157"/>
      <c r="CH9" s="157" t="str">
        <f>IF($CH$3="","",IF($CH$3=CH8,2,0)+IF($CI$3=CI8,2,0)+IF(OR(AND($CH$3&gt;$CI$3,CH8 &gt; CI8),AND($CH$3 &lt; $CI$3,CH8&lt;CI8),AND($CH$3 = $CI$3,CH8 = CI8)),5,0))</f>
        <v/>
      </c>
      <c r="CI9" s="157"/>
      <c r="CJ9" s="157" t="str">
        <f>IF($CJ$3="","",IF($CJ$3=CJ8,2,0)+IF($CK$3=CK8,2,0)+IF(OR(AND($CJ$3&gt;$CK$3,CJ8 &gt; CK8),AND($CJ$3 &lt; $CK$3,CJ8&lt;CK8),AND($CJ$3 = $CK$3,CJ8 = CK8)),5,0))</f>
        <v/>
      </c>
      <c r="CK9" s="157"/>
      <c r="CL9" s="157" t="str">
        <f>IF($CL$3="","",IF($CL$3=CL8,2,0)+IF($CM$3=CM8,2,0)+IF(OR(AND($CL$3&gt;$CM$3,CL8 &gt; CM8),AND($CL$3 &lt; $CM$3,CL8&lt;CM8),AND($CL$3 = $CM$3,CL8 = CM8)),5,0))</f>
        <v/>
      </c>
      <c r="CM9" s="157"/>
      <c r="CN9" s="157" t="str">
        <f>IF($CN$3="","",IF($CN$3=CN8,2,0)+IF($CO$3=CO8,2,0)+IF(OR(AND($CN$3&gt;$CO$3,CN8 &gt; CO8),AND($CN$3 &lt; $CO$3,CN8&lt;CO8),AND($CN$3 = $CO$3,CN8 = CO8)),5,0))</f>
        <v/>
      </c>
      <c r="CO9" s="157"/>
      <c r="CP9" s="157" t="str">
        <f>IF($CP$3="","",IF($CP$3=CP8,2,0)+IF($CQ$3=CQ8,2,0)+IF(OR(AND($CP$3&gt;$CQ$3,CP8 &gt; CQ8),AND($CP$3 &lt; $CQ$3,CP8&lt;CQ8),AND($CP$3 = $CQ$3,CP8 = CQ8)),5,0))</f>
        <v/>
      </c>
      <c r="CQ9" s="157"/>
      <c r="CR9" s="157" t="str">
        <f>IF($CR$3="","",IF($CR$3=CR8,2,0)+IF($CS$3=CS8,2,0)+IF(OR(AND($CR$3&gt;$CS$3,CR8 &gt; CS8),AND($CR$3 &lt; $CS$3,CR8&lt;CS8),AND($CR$3 = $CS$3,CR8 = CS8)),5,0))</f>
        <v/>
      </c>
      <c r="CS9" s="154"/>
      <c r="CT9" s="24">
        <f>SUM(B9:CS9)</f>
        <v>12</v>
      </c>
      <c r="CU9" s="12">
        <f>IF(AND(CW7=$CW$2,CW7&lt;&gt;""),2,0)+IF(AND(CX7=$CX$2,CX7&lt;&gt;""),2,0)+IF(AND(CY7=$CY$2,CY7&lt;&gt;""),2,0)+IF(AND(CZ7=$CZ$2,CZ7&lt;&gt;""),2,0)+IF(AND(DA7=$DA$2,DA7&lt;&gt;""),2,0)+IF(AND(DB7=$DB$2,DB7&lt;&gt;""),2,0)+IF(AND(DC7=$DC$2,DC7&lt;&gt;""),2,0)+IF(AND(DD7=$DD$2,DD7&lt;&gt;""),2,0)+IF(AND(DE7=$DE$2,DE7&lt;&gt;""),2,0)+IF(AND(DF7=$DF$2,DF7&lt;&gt;""),2,0)+IF(AND(DG7=$DG$2,DG7&lt;&gt;""),2,0)+IF(AND(DH7=$DH$2,DH7&lt;&gt;""),2,0)+IF(AND(DI7=$DI$2,DI7&lt;&gt;""),2,0)+IF(AND(DJ7=$DJ$2,DJ7&lt;&gt;""),2,0)+IF(AND(DK7=$DK$2,DK7&lt;&gt;""),2,0)+IF(AND(DL7=$DL$2,DL7&lt;&gt;""),2,0)</f>
        <v>0</v>
      </c>
      <c r="CV9" s="11">
        <f>CT9+CU9</f>
        <v>12</v>
      </c>
      <c r="CW9" s="156" t="str">
        <f>IF($CW$3="","",IF($CW$3=CW8,2,0)+IF($CX$3=CX8,2,0)+IF(OR(AND($CW$3&gt;$CX$3,CW8 &gt; CX8),AND($CW$3 &lt; $CX$3,CW8&lt;CX8),AND($CW$3 = $CX$3,CW8 = CX8)),5,0))</f>
        <v/>
      </c>
      <c r="CX9" s="157"/>
      <c r="CY9" s="157" t="str">
        <f>IF($CY$3="","",IF($CY$3=CY8,2,0)+IF($CZ$3=CZ8,2,0)+IF(OR(AND($CY$3&gt;$CZ$3,CY8 &gt; CZ8),AND($CY$3 &lt; $CZ$3,CY8&lt;CZ8),AND($CY$3 = $CZ$3,CY8 = CZ8)),5,0))</f>
        <v/>
      </c>
      <c r="CZ9" s="157"/>
      <c r="DA9" s="157" t="str">
        <f>IF($DA6="","",IF($DA$3=DA8,2,0)+IF($DB$3=DB8,2,0)+IF(OR(AND($DA$3&gt;$DB$3,DA8 &gt; DB8),AND($DA$3 &lt; $DB$3,DA8&lt;DB8),AND($DA$3 = $DB$3,DA8 = DB8)),5,0))</f>
        <v/>
      </c>
      <c r="DB9" s="157"/>
      <c r="DC9" s="157" t="str">
        <f>IF($DC$3="","",IF($DC$3=DC8,2,0)+IF($DD$3=DD8,2,0)+IF(OR(AND($DC$3&gt;$DD$3,DC8 &gt; DD8),AND($DC$3 &lt; $DD$3,DC8&lt;DD8),AND($DC$3 = $DD$3,DC8 = DD8)),5,0))</f>
        <v/>
      </c>
      <c r="DD9" s="157"/>
      <c r="DE9" s="157" t="str">
        <f>IF($DE$3="","",IF($DE$3=DE8,2,0)+IF($DF$3=DF8,2,0)+IF(OR(AND($DE$3&gt;$DF$3,DE8 &gt; DF8),AND($DE$3 &lt; $DF$3,DE8&lt;DF8),AND($DE$3 = $DF$3,DE8 = DF8)),5,0))</f>
        <v/>
      </c>
      <c r="DF9" s="157"/>
      <c r="DG9" s="157" t="str">
        <f>IF($DG$3="","",IF($DG$3=DG8,2,0)+IF($DH$3=DH8,2,0)+IF(OR(AND($DG$3&gt;$DH$3,DG8 &gt; DH8),AND($DG$3 &lt; $DH$3,DG8&lt;DH8),AND($DG$3 = $DH$3,DG8 = DH8)),5,0))</f>
        <v/>
      </c>
      <c r="DH9" s="157"/>
      <c r="DI9" s="157" t="str">
        <f>IF($DI$3="","",IF($DI$3=DI8,2,0)+IF($DJ$3=DJ8,2,0)+IF(OR(AND($DI$3&gt;$DJ$3,DI8 &gt; DJ8),AND($DI$3 &lt; $DJ$3,DI8&lt;DJ8),AND($DI$3 = $DJ$3,DI8 = DJ8)),5,0))</f>
        <v/>
      </c>
      <c r="DJ9" s="157"/>
      <c r="DK9" s="157" t="str">
        <f>IF($DK$3="","",IF($DK$3=DK8,2,0)+IF($DL$3=DL8,2,0)+IF(OR(AND($DK$3&gt;$DL$3,DK8 &gt; DL8),AND($DK$3 &lt; $DL$3,DK8&lt;DL8),AND($DK$3 = $DL$3,DK8 = DL8)),5,0))</f>
        <v/>
      </c>
      <c r="DL9" s="154"/>
      <c r="DM9" s="24">
        <f>SUM(CW9:DL9)</f>
        <v>0</v>
      </c>
      <c r="DN9" s="12">
        <f>IF(AND(DP7=$DP$2,DP7&lt;&gt;""),2,0)+IF(AND(DQ7=$DQ$2,DQ7&lt;&gt;""),2,0)+IF(AND(DR7=$DR$2,DR7&lt;&gt;""),2,0)+IF(AND(DS7=$DS$2,DS7&lt;&gt;""),2,0)+IF(AND(DT7=$DT$2,DT7&lt;&gt;""),2,0)+IF(AND(DU7=$DU$2,DU7&lt;&gt;""),2,0)+IF(AND(DV7=$DV$2,DV7&lt;&gt;""),2,0)+IF(AND(DW7=$DW$2,DW7&lt;&gt;""),2,0)</f>
        <v>0</v>
      </c>
      <c r="DO9" s="11">
        <f>CV9+DM9+DN9</f>
        <v>12</v>
      </c>
      <c r="DP9" s="159" t="str">
        <f>IF($DP$3="","",IF($DP$3=DP8,2,0)+IF($DQ$3=DQ8,2,0)+IF(OR(AND($DP$3&gt;$DQ$3,DP8 &gt; DQ8),AND($DP$3 &lt; $DQ$3,DP8&lt;DQ8),AND($DP$3 = $DQ$3,DP8 = DQ8)),5,0))</f>
        <v/>
      </c>
      <c r="DQ9" s="160"/>
      <c r="DR9" s="154" t="str">
        <f>IF($DR$3="","",IF($DR$3=DR8,2,0)+IF($DS$3=DS8,2,0)+IF(OR(AND($DR$3&gt;$DS$3,DR8 &gt; DS8),AND($DR$3 &lt; $DS$3,DR8&lt;DS8),AND($DR$3 = $DS$3,DR8 = DS8)),5,0))</f>
        <v/>
      </c>
      <c r="DS9" s="160"/>
      <c r="DT9" s="154" t="str">
        <f>IF($DT$3="","",IF($DT$3=DT8,2,0)+IF($DU$3=DU8,2,0)+IF(OR(AND($DT$3&gt;$DU$3,DT8 &gt; DU8),AND($DT$3 &lt; $DU$3,DT8&lt;DU8),AND($DT$3 = $DU$3,DT8 = DU8)),5,0))</f>
        <v/>
      </c>
      <c r="DU9" s="160"/>
      <c r="DV9" s="154" t="str">
        <f>IF($DV$3="","",IF($DV6=DV8,2,0)+IF($DW$3=DW8,2,0)+IF(OR(AND($DV$3&gt;$DW$3,DV8 &gt; DW8),AND($DV$3 &lt; $DW$3,DV8&lt;DW8),AND($DV$3 = $DW$3,DV8 = DW8)),5,0))</f>
        <v/>
      </c>
      <c r="DW9" s="155"/>
      <c r="DX9" s="24">
        <f>SUM(DP9:DW9)</f>
        <v>0</v>
      </c>
      <c r="DY9" s="12">
        <f>IF(AND(EA7=$EA$2,EA7&lt;&gt;""),3,0)+IF(AND(EB7=$EB$2,EB7&lt;&gt;""),3,0)+IF(AND(EC7=$EC$2,EC7&lt;&gt;""),3,0)+IF(AND(ED7=$ED$2,ED7&lt;&gt;""),3,0)</f>
        <v>0</v>
      </c>
      <c r="DZ9" s="11">
        <f>DO9+DX9+DY9</f>
        <v>12</v>
      </c>
      <c r="EA9" s="156" t="str">
        <f>IF($EA$3="","",IF($EA$3=EA8,2,0)+IF($EB$3=EB8,2,0)+IF(OR(AND($EA$3&gt;$EB$3,EA8 &gt; EB8),AND($EA$3 &lt; $EB$3,EA8&lt;EB8),AND($EA$3 = $EB$3,EA8 = EB8)),5,0))</f>
        <v/>
      </c>
      <c r="EB9" s="157"/>
      <c r="EC9" s="157" t="str">
        <f>IF($EC$3="","",IF($EC$3=EC8,2,0)+IF($ED$3=ED8,2,0)+IF(OR(AND($EC$3&gt;$ED$3,EC8 &gt; ED8),AND($EC$3 &lt; $ED$3,EC8&lt;ED8),AND($EC$3 = $ED$3,EC8 = ED8)),5,0))</f>
        <v/>
      </c>
      <c r="ED9" s="154"/>
      <c r="EE9" s="24">
        <f>SUM(EA9:ED9)</f>
        <v>0</v>
      </c>
      <c r="EF9" s="12">
        <f>IF(AND(EH7=$EH$2,EH7&lt;&gt;""),3,0)+IF(AND(EI7=$EI$2,EI7&lt;&gt;""),3,0)</f>
        <v>0</v>
      </c>
      <c r="EG9" s="11">
        <f>DZ9+EE9+EF9</f>
        <v>12</v>
      </c>
      <c r="EH9" s="156" t="str">
        <f>IF($EH$3="","",IF($EH$3=EH8,2,0)+IF($EI$3=EI8,2,0)+IF(OR(AND($EH$3&gt;$EI$3,EH8 &gt; EI8),AND($EH$3 &lt; $EI$3,EH8&lt;EI8),AND($EH$3 = $EI$3,EH8 = EI8)),5,0))</f>
        <v/>
      </c>
      <c r="EI9" s="154"/>
      <c r="EJ9" s="24">
        <f>SUM(EH9:EI9)</f>
        <v>0</v>
      </c>
      <c r="EK9" s="12">
        <f>IF(AND(EM7=$EM$2,EM7&lt;&gt;""),5,0)+IF(AND(EN7=$EN$2,EN7&lt;&gt;""),5,0)</f>
        <v>0</v>
      </c>
      <c r="EL9" s="11">
        <f>EG9+EJ9+EK9</f>
        <v>12</v>
      </c>
      <c r="EM9" s="156" t="str">
        <f>IF($EM$3="","",IF($EM$3=EM8,2,0)+IF($EN$3=EN8,2,0)+IF(OR(AND($EM$3&gt;$EN$3,EM8 &gt; EN8),AND($EM$3 &lt; $EN$3,EM8&lt;EN8),AND($EM$3 = $EN$3,EM8 = EN8)),5,0))</f>
        <v/>
      </c>
      <c r="EN9" s="158"/>
      <c r="EO9" s="152"/>
      <c r="EP9" s="8" t="str">
        <f>EM9</f>
        <v/>
      </c>
      <c r="EQ9" s="20">
        <f>IF(AND(EO7=$EO$2,EO7&lt;&gt;""),10,0)</f>
        <v>0</v>
      </c>
      <c r="ER9" s="11" t="e">
        <f>EL9+EP9+EQ9</f>
        <v>#VALUE!</v>
      </c>
    </row>
    <row r="10" spans="1:148" s="145" customFormat="1" ht="24" thickBot="1" x14ac:dyDescent="0.35">
      <c r="A10" s="2"/>
      <c r="B10" s="43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4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6"/>
      <c r="BN10" s="43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17"/>
      <c r="CU10" s="18"/>
      <c r="CV10" s="19"/>
      <c r="CW10" s="73" t="s">
        <v>10</v>
      </c>
      <c r="CX10" s="74" t="s">
        <v>11</v>
      </c>
      <c r="CY10" s="75" t="s">
        <v>15</v>
      </c>
      <c r="CZ10" s="74" t="s">
        <v>21</v>
      </c>
      <c r="DA10" s="75" t="s">
        <v>19</v>
      </c>
      <c r="DB10" s="74" t="s">
        <v>17</v>
      </c>
      <c r="DC10" s="75" t="s">
        <v>12</v>
      </c>
      <c r="DD10" s="74" t="s">
        <v>7</v>
      </c>
      <c r="DE10" s="75" t="s">
        <v>23</v>
      </c>
      <c r="DF10" s="74" t="s">
        <v>28</v>
      </c>
      <c r="DG10" s="75" t="s">
        <v>34</v>
      </c>
      <c r="DH10" s="74" t="s">
        <v>35</v>
      </c>
      <c r="DI10" s="75" t="s">
        <v>27</v>
      </c>
      <c r="DJ10" s="74" t="s">
        <v>24</v>
      </c>
      <c r="DK10" s="75" t="s">
        <v>37</v>
      </c>
      <c r="DL10" s="74" t="s">
        <v>31</v>
      </c>
      <c r="DM10" s="14"/>
      <c r="DN10" s="15"/>
      <c r="DO10" s="16"/>
      <c r="DP10" s="70" t="s">
        <v>23</v>
      </c>
      <c r="DQ10" s="71" t="s">
        <v>34</v>
      </c>
      <c r="DR10" s="70" t="s">
        <v>10</v>
      </c>
      <c r="DS10" s="71" t="s">
        <v>15</v>
      </c>
      <c r="DT10" s="72" t="s">
        <v>12</v>
      </c>
      <c r="DU10" s="71" t="s">
        <v>19</v>
      </c>
      <c r="DV10" s="70" t="s">
        <v>27</v>
      </c>
      <c r="DW10" s="71" t="s">
        <v>31</v>
      </c>
      <c r="DX10" s="7"/>
      <c r="DY10" s="9"/>
      <c r="DZ10" s="10"/>
      <c r="EA10" s="67" t="s">
        <v>15</v>
      </c>
      <c r="EB10" s="68" t="s">
        <v>23</v>
      </c>
      <c r="EC10" s="69" t="s">
        <v>12</v>
      </c>
      <c r="ED10" s="68" t="s">
        <v>27</v>
      </c>
      <c r="EE10" s="7"/>
      <c r="EF10" s="9"/>
      <c r="EG10" s="10"/>
      <c r="EH10" s="65" t="s">
        <v>15</v>
      </c>
      <c r="EI10" s="66" t="s">
        <v>12</v>
      </c>
      <c r="EJ10" s="7"/>
      <c r="EK10" s="9"/>
      <c r="EL10" s="10"/>
      <c r="EM10" s="63" t="s">
        <v>23</v>
      </c>
      <c r="EN10" s="64" t="s">
        <v>27</v>
      </c>
      <c r="EO10" s="62" t="s">
        <v>44</v>
      </c>
      <c r="EP10" s="7"/>
      <c r="EQ10" s="9"/>
      <c r="ER10" s="10"/>
    </row>
    <row r="11" spans="1:148" s="151" customFormat="1" ht="16.5" thickBot="1" x14ac:dyDescent="0.35">
      <c r="A11" s="146" t="s">
        <v>48</v>
      </c>
      <c r="B11" s="51">
        <v>3</v>
      </c>
      <c r="C11" s="52">
        <v>0</v>
      </c>
      <c r="D11" s="53">
        <v>1</v>
      </c>
      <c r="E11" s="52">
        <v>3</v>
      </c>
      <c r="F11" s="53">
        <v>1</v>
      </c>
      <c r="G11" s="52">
        <v>3</v>
      </c>
      <c r="H11" s="53">
        <v>0</v>
      </c>
      <c r="I11" s="52">
        <v>0</v>
      </c>
      <c r="J11" s="53">
        <v>2</v>
      </c>
      <c r="K11" s="52">
        <v>0</v>
      </c>
      <c r="L11" s="53">
        <v>2</v>
      </c>
      <c r="M11" s="52">
        <v>1</v>
      </c>
      <c r="N11" s="53">
        <v>2</v>
      </c>
      <c r="O11" s="52">
        <v>0</v>
      </c>
      <c r="P11" s="53">
        <v>3</v>
      </c>
      <c r="Q11" s="52">
        <v>1</v>
      </c>
      <c r="R11" s="53">
        <v>4</v>
      </c>
      <c r="S11" s="52">
        <v>0</v>
      </c>
      <c r="T11" s="53">
        <v>0</v>
      </c>
      <c r="U11" s="52">
        <v>0</v>
      </c>
      <c r="V11" s="53">
        <v>3</v>
      </c>
      <c r="W11" s="52">
        <v>1</v>
      </c>
      <c r="X11" s="53">
        <v>1</v>
      </c>
      <c r="Y11" s="52">
        <v>0</v>
      </c>
      <c r="Z11" s="53">
        <v>3</v>
      </c>
      <c r="AA11" s="52">
        <v>0</v>
      </c>
      <c r="AB11" s="53">
        <v>0</v>
      </c>
      <c r="AC11" s="52">
        <v>3</v>
      </c>
      <c r="AD11" s="53">
        <v>2</v>
      </c>
      <c r="AE11" s="52">
        <v>0</v>
      </c>
      <c r="AF11" s="53">
        <v>3</v>
      </c>
      <c r="AG11" s="54">
        <v>1</v>
      </c>
      <c r="AH11" s="51">
        <v>1</v>
      </c>
      <c r="AI11" s="52">
        <v>0</v>
      </c>
      <c r="AJ11" s="53">
        <v>2</v>
      </c>
      <c r="AK11" s="52">
        <v>0</v>
      </c>
      <c r="AL11" s="53">
        <v>3</v>
      </c>
      <c r="AM11" s="52">
        <v>0</v>
      </c>
      <c r="AN11" s="53">
        <v>0</v>
      </c>
      <c r="AO11" s="52">
        <v>5</v>
      </c>
      <c r="AP11" s="53">
        <v>3</v>
      </c>
      <c r="AQ11" s="52">
        <v>1</v>
      </c>
      <c r="AR11" s="53">
        <v>2</v>
      </c>
      <c r="AS11" s="52">
        <v>0</v>
      </c>
      <c r="AT11" s="53">
        <v>2</v>
      </c>
      <c r="AU11" s="52">
        <v>1</v>
      </c>
      <c r="AV11" s="53">
        <v>0</v>
      </c>
      <c r="AW11" s="52">
        <v>0</v>
      </c>
      <c r="AX11" s="53">
        <v>3</v>
      </c>
      <c r="AY11" s="52">
        <v>0</v>
      </c>
      <c r="AZ11" s="53">
        <v>1</v>
      </c>
      <c r="BA11" s="52">
        <v>2</v>
      </c>
      <c r="BB11" s="53">
        <v>2</v>
      </c>
      <c r="BC11" s="52">
        <v>0</v>
      </c>
      <c r="BD11" s="53">
        <v>1</v>
      </c>
      <c r="BE11" s="52">
        <v>2</v>
      </c>
      <c r="BF11" s="53">
        <v>4</v>
      </c>
      <c r="BG11" s="52">
        <v>0</v>
      </c>
      <c r="BH11" s="53">
        <v>2</v>
      </c>
      <c r="BI11" s="52">
        <v>0</v>
      </c>
      <c r="BJ11" s="53">
        <v>1</v>
      </c>
      <c r="BK11" s="52">
        <v>2</v>
      </c>
      <c r="BL11" s="53">
        <v>1</v>
      </c>
      <c r="BM11" s="54">
        <v>1</v>
      </c>
      <c r="BN11" s="55">
        <v>0</v>
      </c>
      <c r="BO11" s="56">
        <v>1</v>
      </c>
      <c r="BP11" s="57">
        <v>1</v>
      </c>
      <c r="BQ11" s="56">
        <v>0</v>
      </c>
      <c r="BR11" s="57">
        <v>3</v>
      </c>
      <c r="BS11" s="56">
        <v>0</v>
      </c>
      <c r="BT11" s="57">
        <v>0</v>
      </c>
      <c r="BU11" s="56">
        <v>3</v>
      </c>
      <c r="BV11" s="57">
        <v>0</v>
      </c>
      <c r="BW11" s="56">
        <v>1</v>
      </c>
      <c r="BX11" s="57">
        <v>1</v>
      </c>
      <c r="BY11" s="56">
        <v>2</v>
      </c>
      <c r="BZ11" s="57">
        <v>0</v>
      </c>
      <c r="CA11" s="56">
        <v>2</v>
      </c>
      <c r="CB11" s="57">
        <v>0</v>
      </c>
      <c r="CC11" s="56">
        <v>2</v>
      </c>
      <c r="CD11" s="57">
        <v>1</v>
      </c>
      <c r="CE11" s="56">
        <v>1</v>
      </c>
      <c r="CF11" s="57">
        <v>0</v>
      </c>
      <c r="CG11" s="56">
        <v>2</v>
      </c>
      <c r="CH11" s="57">
        <v>2</v>
      </c>
      <c r="CI11" s="56">
        <v>1</v>
      </c>
      <c r="CJ11" s="57">
        <v>0</v>
      </c>
      <c r="CK11" s="56">
        <v>4</v>
      </c>
      <c r="CL11" s="57">
        <v>0</v>
      </c>
      <c r="CM11" s="56">
        <v>0</v>
      </c>
      <c r="CN11" s="57">
        <v>3</v>
      </c>
      <c r="CO11" s="56">
        <v>2</v>
      </c>
      <c r="CP11" s="57">
        <v>1</v>
      </c>
      <c r="CQ11" s="56">
        <v>1</v>
      </c>
      <c r="CR11" s="57">
        <v>0</v>
      </c>
      <c r="CS11" s="58">
        <v>2</v>
      </c>
      <c r="CT11" s="21"/>
      <c r="CU11" s="22"/>
      <c r="CV11" s="23"/>
      <c r="CW11" s="59">
        <v>6</v>
      </c>
      <c r="CX11" s="60">
        <v>5</v>
      </c>
      <c r="CY11" s="61">
        <v>3</v>
      </c>
      <c r="CZ11" s="60">
        <v>1</v>
      </c>
      <c r="DA11" s="61">
        <v>3</v>
      </c>
      <c r="DB11" s="60">
        <v>0</v>
      </c>
      <c r="DC11" s="61">
        <v>4</v>
      </c>
      <c r="DD11" s="60">
        <v>0</v>
      </c>
      <c r="DE11" s="61">
        <v>3</v>
      </c>
      <c r="DF11" s="60">
        <v>1</v>
      </c>
      <c r="DG11" s="61">
        <v>2</v>
      </c>
      <c r="DH11" s="60">
        <v>0</v>
      </c>
      <c r="DI11" s="61">
        <v>3</v>
      </c>
      <c r="DJ11" s="60">
        <v>0</v>
      </c>
      <c r="DK11" s="61">
        <v>1</v>
      </c>
      <c r="DL11" s="60">
        <v>2</v>
      </c>
      <c r="DM11" s="48"/>
      <c r="DN11" s="29"/>
      <c r="DO11" s="30"/>
      <c r="DP11" s="61">
        <v>3</v>
      </c>
      <c r="DQ11" s="60">
        <v>1</v>
      </c>
      <c r="DR11" s="61">
        <v>0</v>
      </c>
      <c r="DS11" s="60">
        <v>1</v>
      </c>
      <c r="DT11" s="61">
        <v>3</v>
      </c>
      <c r="DU11" s="60">
        <v>1</v>
      </c>
      <c r="DV11" s="61">
        <v>3</v>
      </c>
      <c r="DW11" s="60">
        <v>0</v>
      </c>
      <c r="DX11" s="27"/>
      <c r="DY11" s="25"/>
      <c r="DZ11" s="26"/>
      <c r="EA11" s="61">
        <v>1</v>
      </c>
      <c r="EB11" s="60">
        <v>2</v>
      </c>
      <c r="EC11" s="61">
        <v>0</v>
      </c>
      <c r="ED11" s="60">
        <v>2</v>
      </c>
      <c r="EE11" s="21"/>
      <c r="EF11" s="22"/>
      <c r="EG11" s="23"/>
      <c r="EH11" s="61">
        <v>0</v>
      </c>
      <c r="EI11" s="60">
        <v>2</v>
      </c>
      <c r="EJ11" s="21"/>
      <c r="EK11" s="22"/>
      <c r="EL11" s="23"/>
      <c r="EM11" s="61">
        <v>2</v>
      </c>
      <c r="EN11" s="60">
        <v>1</v>
      </c>
      <c r="EO11" s="153"/>
      <c r="EP11" s="21"/>
      <c r="EQ11" s="22"/>
      <c r="ER11" s="23"/>
    </row>
    <row r="12" spans="1:148" s="151" customFormat="1" ht="16.5" thickBot="1" x14ac:dyDescent="0.35">
      <c r="A12" s="42"/>
      <c r="B12" s="156">
        <f>IF($B$3="","",IF($B$3=B11,2,0)+IF($C$3=C11,2,0)+IF(OR(AND($B$3&gt;$C$3,B11 &gt; C11),AND($B$3 &lt; $C$3,B11&lt;C11),AND($B$3 = $C$3,B11 = C11)),5,0))</f>
        <v>7</v>
      </c>
      <c r="C12" s="161"/>
      <c r="D12" s="157">
        <f>IF($D$3="","",IF($D$3=D11,2,0)+IF($E$3=E11,2,0)+IF(OR(AND($D$3&gt;$E$3,D11 &gt; E11),AND($D$3 &lt; $E$3,D11&lt;E11),AND($D$3 = $E$3,D11 = E11)),5,0))</f>
        <v>5</v>
      </c>
      <c r="E12" s="157"/>
      <c r="F12" s="157" t="str">
        <f>IF($F$3="","",IF($F$3=F11,2,0)+IF($G$3=G11,2,0)+IF(OR(AND($F$3&gt;$G$3,F11 &gt; G11),AND($F$3 &lt; $G$3,F11&lt;G11),AND($F$3 = $G$3,F11 = G11)),5,0))</f>
        <v/>
      </c>
      <c r="G12" s="157"/>
      <c r="H12" s="157" t="str">
        <f>IF($H$3="","",IF($H$3=H11,2,0)+IF($I$3=I11,2,0)+IF(OR(AND($H$3&gt;$I$3,H11 &gt; I11),AND($H$3 &lt; $I$3,H11&lt;I11),AND($H$3 = $I$3,H11 = I11)),5,0))</f>
        <v/>
      </c>
      <c r="I12" s="157"/>
      <c r="J12" s="157" t="str">
        <f>IF($J$3="","",IF($J$3=J11,2,0)+IF($K$3=K11,2,0)+IF(OR(AND($J$3&gt;$K$3,J11 &gt; K11),AND($J$3 &lt; $K$3,J11&lt;K11),AND($J$3 = $K$3,J11 = K11)),5,0))</f>
        <v/>
      </c>
      <c r="K12" s="157"/>
      <c r="L12" s="157" t="str">
        <f>IF($L$3="","",IF($L$3=L11,2,0)+IF($M$3=M11,2,0)+IF(OR(AND($L$3&gt;$M$3,L11 &gt; M11),AND($L$3 &lt; $M$3,L11&lt;M11),AND($L$3 = $M$3,L11 = M11)),5,0))</f>
        <v/>
      </c>
      <c r="M12" s="157"/>
      <c r="N12" s="157" t="str">
        <f>IF($N$3="","",IF($N$3=N11,2,0)+IF($O$3=O11,2,0)+IF(OR(AND($N$3&gt;$O$3,N11 &gt; O11),AND($N$3 &lt; $O$3,N11&lt;O11),AND($N$3 = $O$3,N11 = O11)),5,0))</f>
        <v/>
      </c>
      <c r="O12" s="157"/>
      <c r="P12" s="157" t="str">
        <f>IF($P$3="","",IF($P$3=P11,2,0)+IF($Q$3=Q11,2,0)+IF(OR(AND($P$3&gt;$Q$3,P11 &gt; Q11),AND($P$3 &lt; $Q$3,P11&lt;Q11),AND($P$3 = $Q$3,P11 = Q11)),5,0))</f>
        <v/>
      </c>
      <c r="Q12" s="157"/>
      <c r="R12" s="157" t="str">
        <f>IF($R$3="","",IF($R$3=R11,2,0)+IF($S$3=S11,2,0)+IF(OR(AND($R$3&gt;$S$3,R11 &gt; S11),AND($R$3 &lt; $S$3,R11&lt;S11),AND($R$3 = $S$3,R11 = S11)),5,0))</f>
        <v/>
      </c>
      <c r="S12" s="157"/>
      <c r="T12" s="157" t="str">
        <f>IF($T$3="","",IF($T$3=T11,2,0)+IF($U$3=U11,2,0)+IF(OR(AND($T$3&gt;$U$3,T11 &gt; U11),AND($T$3 &lt; $U$3,T11&lt;U11),AND($T$3 = $U$3,T11 = U11)),5,0))</f>
        <v/>
      </c>
      <c r="U12" s="157"/>
      <c r="V12" s="157" t="str">
        <f>IF($V$3="","",IF($V$3=V11,2,0)+IF($W$3=W11,2,0)+IF(OR(AND($V$3&gt;$W$3,V11 &gt; W11),AND($V$3 &lt; $W$3,V11&lt;W11),AND($V$3 = $W$3,V11 = W11)),5,0))</f>
        <v/>
      </c>
      <c r="W12" s="157"/>
      <c r="X12" s="157" t="str">
        <f>IF($X$3="","",IF($X$3=X11,2,0)+IF($Y$3=Y11,2,0)+IF(OR(AND($X$3&gt;$Y$3,X11 &gt; Y11),AND($X$3 &lt; $Y$3,X11&lt;Y11),AND($X$3 = $Y$3,X11 = Y11)),5,0))</f>
        <v/>
      </c>
      <c r="Y12" s="157"/>
      <c r="Z12" s="157" t="str">
        <f>IF($Z$3="","",IF($Z$3=Z11,2,0)+IF($AA$3=AA11,2,0)+IF(OR(AND($Z$3&gt;$AA$3,Z11 &gt; AA11),AND($Z$3 &lt; $AA$3,Z11&lt;AA11),AND($Z$3 = $AA$3,Z11 = AA11)),5,0))</f>
        <v/>
      </c>
      <c r="AA12" s="157"/>
      <c r="AB12" s="157" t="str">
        <f>IF($AB$3="","",IF($AB$3=AB11,2,0)+IF($AC$3=AC11,2,0)+IF(OR(AND($AB$3&gt;$AC$3,AB11 &gt; AC11),AND($AB$3 &lt; $AC$3,AB11&lt;AC11),AND($AB$3 = $AC$3,AB11 = AC11)),5,0))</f>
        <v/>
      </c>
      <c r="AC12" s="157"/>
      <c r="AD12" s="157" t="str">
        <f>IF($AD$3="","",IF($AD$3=AD11,2,0)+IF($AE$3=AE11,2,0)+IF(OR(AND($AD$3&gt;$AE$3,AD11 &gt; AE11),AND($AD$3 &lt; $AE$3,AD11&lt;AE11),AND($AD$3 = $AE$3,AD11 = AE11)),5,0))</f>
        <v/>
      </c>
      <c r="AE12" s="157"/>
      <c r="AF12" s="157" t="str">
        <f>IF($AF$3="","",IF($AF$3=AF11,2,0)+IF($AG$3=AG11,2,0)+IF(OR(AND($AF$3&gt;$AG$3,AF11 &gt; AG11),AND($AF$3 &lt; $AG$3,AF11&lt;AG11),AND($AF$3 = $AG$3,AF11 = AG11)),5,0))</f>
        <v/>
      </c>
      <c r="AG12" s="158"/>
      <c r="AH12" s="160" t="str">
        <f>IF($AH$3="","",IF($AH$3=AH11,2,0)+IF($AI$3=AI11,2,0)+IF(OR(AND($AH$3&gt;$AI$3,AH11 &gt; AI11),AND($AH$3 &lt; $AI$3,AH11&lt;AI11),AND($AH$3 = $AI$3,AH11 = AI11)),5,0))</f>
        <v/>
      </c>
      <c r="AI12" s="157"/>
      <c r="AJ12" s="157" t="str">
        <f>IF($AJ$3="","",IF($AJ$3=AJ11,2,0)+IF($AK$3=AK11,2,0)+IF(OR(AND($AJ$3&gt;$AK$3,AJ11 &gt; AK11),AND($AJ$3 &lt; $AK$3,AJ11&lt;AK11),AND($AJ$3 = $AK$3,AJ11 = AK11)),5,0))</f>
        <v/>
      </c>
      <c r="AK12" s="157"/>
      <c r="AL12" s="157" t="str">
        <f>IF($AL$3="","",IF($AL$3=AL11,2,0)+IF($AM$3=AM11,2,0)+IF(OR(AND($AL$3&gt;$AM$3,AL11 &gt; AM11),AND($AL$3 &lt; $AM$3,AL11&lt;AM11),AND($AL$3 = $AM$3,AL11 = AM11)),5,0))</f>
        <v/>
      </c>
      <c r="AM12" s="157"/>
      <c r="AN12" s="157" t="str">
        <f>IF($AN$3="","",IF($AN$3=AN11,2,0)+IF($AO$3=AO11,2,0)+IF(OR(AND($AN$3&gt;$AO$3,AN11 &gt; AO11),AND($AN$3 &lt; $AO$3,AN11&lt;AO11),AND($AN$3 = $AO$3,AN11 = AO11)),5,0))</f>
        <v/>
      </c>
      <c r="AO12" s="157"/>
      <c r="AP12" s="157" t="str">
        <f>IF($AP$3="","",IF($AP$3=AP11,2,0)+IF($AQ$3=AQ11,2,0)+IF(OR(AND($AP$3&gt;$AQ$3,AP11 &gt; AQ11),AND($AP$3 &lt; $AQ$3,AP11&lt;AQ11),AND($AP$3 = $AQ$3,AP11 = AQ11)),5,0))</f>
        <v/>
      </c>
      <c r="AQ12" s="157"/>
      <c r="AR12" s="157" t="str">
        <f>IF($AR$3="","",IF($AR$3=AR11,2,0)+IF($AS$3=AS11,2,0)+IF(OR(AND($AR$3&gt;$AS$3,AR11 &gt; AS11),AND($AR$3 &lt; $AS$3,AR11&lt;AS11),AND($AR$3 = $AS$3,AR11 = AS11)),5,0))</f>
        <v/>
      </c>
      <c r="AS12" s="157"/>
      <c r="AT12" s="157" t="str">
        <f>IF($AT$3="","",IF($AT$3=AT11,2,0)+IF($AU$3=AU11,2,0)+IF(OR(AND($AT$3&gt;$AU$3,AT11 &gt; AU11),AND($AT$3 &lt; $AU$3,AT11&lt;AU11),AND($AT$3 = $AU$3,AT11 = AU11)),5,0))</f>
        <v/>
      </c>
      <c r="AU12" s="157"/>
      <c r="AV12" s="157" t="str">
        <f>IF($AV$3="","",IF($AV$3=AV11,2,0)+IF($AW$3=AW11,2,0)+IF(OR(AND($AV$3&gt;$AW$3,AV11 &gt; AW11),AND($AV$3 &lt; $AW$3,AV11&lt;AW11),AND($AV$3 = $AW$3,AV11 = AW11)),5,0))</f>
        <v/>
      </c>
      <c r="AW12" s="157"/>
      <c r="AX12" s="157" t="str">
        <f>IF($AX$3="","",IF($AX$3=AX11,2,0)+IF($AY$3=AY11,2,0)+IF(OR(AND($AX$3&gt;$AY$3,AX11 &gt; AY11),AND($AX$3 &lt; $AY$3,AX11&lt;AY11),AND($AX$3 = $AY$3,AX11 = AY11)),5,0))</f>
        <v/>
      </c>
      <c r="AY12" s="157"/>
      <c r="AZ12" s="157" t="str">
        <f>IF($AZ$3="","",IF($AZ$3=AZ11,2,0)+IF($BA$3=BA11,2,0)+IF(OR(AND($AZ$3&gt;$BA$3,AZ11 &gt; BA11),AND($AZ$3 &lt; $BA$3,AZ11&lt;BA11),AND($AZ$3 = $BA$3,AZ11 = BA11)),5,0))</f>
        <v/>
      </c>
      <c r="BA12" s="157"/>
      <c r="BB12" s="157" t="str">
        <f>IF($BB$3="","",IF($BB$3=BB11,2,0)+IF($BC$3=BC11,2,0)+IF(OR(AND($BB$3&gt;$BC$3,BB11 &gt; BC11),AND($BB$3 &lt; $BC$3,BB11&lt;BC11),AND($BB$3 = $BC$3,BB11 = BC11)),5,0))</f>
        <v/>
      </c>
      <c r="BC12" s="157"/>
      <c r="BD12" s="157" t="str">
        <f>IF($BD$3="","",IF($BD$3=BD11,2,0)+IF($BE$3=BE11,2,0)+IF(OR(AND($BD$3&gt;$BE$3,BD11 &gt; BE11),AND($BD$3 &lt; $BE$3,BD11&lt;BE11),AND($BD$3 = $BE$3,BD11 = BE11)),5,0))</f>
        <v/>
      </c>
      <c r="BE12" s="157"/>
      <c r="BF12" s="157" t="str">
        <f>IF($BF$3="","",IF($BF$3=BF11,2,0)+IF($BG$3=BG11,2,0)+IF(OR(AND($BF$3&gt;$BG$3,BF11 &gt; BG11),AND($BF$3 &lt; $BG$3,BF11&lt;BG11),AND($BF$3 = $BG$3,BF11 = BG11)),5,0))</f>
        <v/>
      </c>
      <c r="BG12" s="157"/>
      <c r="BH12" s="157" t="str">
        <f>IF($BH$3="","",IF($BH$3=BH11,2,0)+IF($BI$3=BI11,2,0)+IF(OR(AND($BH$3&gt;$BI$3,BH11 &gt; BI11),AND($BH$3 &lt; $BI$3,BH11&lt;BI11),AND($BH$3 = $BI$3,BH11 = BI11)),5,0))</f>
        <v/>
      </c>
      <c r="BI12" s="157"/>
      <c r="BJ12" s="157" t="str">
        <f>IF($BJ$3="","",IF($BJ$3=BJ11,2,0)+IF($BK$3=BK11,2,0)+IF(OR(AND($BJ$3&gt;$BK$3,BJ11 &gt; BK11),AND($BJ$3 &lt; $BK$3,BJ11&lt;BK11),AND($BJ$3 = $BK$3,BJ11 = BK11)),5,0))</f>
        <v/>
      </c>
      <c r="BK12" s="157"/>
      <c r="BL12" s="157" t="str">
        <f>IF($BL$3="","",IF($BL$3=BL11,2,0)+IF($BM$3=BM11,2,0)+IF(OR(AND($BL$3&gt;$BM$3,BL11 &gt; BM11),AND($BL$3 &lt; $BM$3,BL11&lt;BM11),AND($BL$3 = $BM$3,BL11 = BM11)),5,0))</f>
        <v/>
      </c>
      <c r="BM12" s="154"/>
      <c r="BN12" s="156" t="str">
        <f>IF($BN$3="","",IF($BN$3=BN11,2,0)+IF($BO$3=BO11,2,0)+IF(OR(AND($BN$3&gt;$BO$3,BN11 &gt; BO11),AND($BN$3 &lt; $BO$3,BN11&lt;BO11),AND($BN$3 = $BO$3,BN11 = BO11)),5,0))</f>
        <v/>
      </c>
      <c r="BO12" s="157"/>
      <c r="BP12" s="157" t="str">
        <f>IF($BP$3="","",IF($BP$3=BP11,2,0)+IF($BQ$3=BQ11,2,0)+IF(OR(AND($BP$3&gt;$BQ$3,BP11 &gt; BQ11),AND($BP$3 &lt; $BQ$3,BP11&lt;BQ11),AND($BP$3 = $BQ$3,BP11 = BQ11)),5,0))</f>
        <v/>
      </c>
      <c r="BQ12" s="157"/>
      <c r="BR12" s="157" t="str">
        <f>IF($BR$3="","",IF($BR$3=BR11,2,0)+IF($BS$3=BS11,2,0)+IF(OR(AND($BR$3&gt;$BS$3,BR11 &gt; BS11),AND($BR$3 &lt; $BS$3,BR11&lt;BS11),AND($BR$3 = $BS$3,BR11 = BS11)),5,0))</f>
        <v/>
      </c>
      <c r="BS12" s="157"/>
      <c r="BT12" s="157" t="str">
        <f>IF($BT$3="","",IF($BT$3=BT11,2,0)+IF($BU$3=BU11,2,0)+IF(OR(AND($BT$3&gt;$BU$3,BT11 &gt; BU11),AND($BT$3 &lt; $BU$3,BT11&lt;BU11),AND($BT$3 = $BU$3,BT11 = BU11)),5,0))</f>
        <v/>
      </c>
      <c r="BU12" s="157"/>
      <c r="BV12" s="157" t="str">
        <f>IF($BV$3="","",IF($BV$3=BV11,2,0)+IF($BW$3=BW11,2,0)+IF(OR(AND($BV$3&gt;$BW$3,BV11 &gt; BW11),AND($BV$3 &lt; $BW$3,BV11&lt;BW11),AND($BV$3 = $BW$3,BV11 = BW11)),5,0))</f>
        <v/>
      </c>
      <c r="BW12" s="157"/>
      <c r="BX12" s="157" t="str">
        <f>IF($BX$3="","",IF($BX$3=BX11,2,0)+IF($BY$3=BY11,2,0)+IF(OR(AND($BX$3&gt;$BY$3,BX11 &gt; BY11),AND($BX$3 &lt; $BY$3,BX11&lt;BY11),AND($BX$3 = $BY$3,BX11 = BY11)),5,0))</f>
        <v/>
      </c>
      <c r="BY12" s="157"/>
      <c r="BZ12" s="157" t="str">
        <f>IF($BZ$3="","",IF($BZ$3=BZ11,2,0)+IF($CA$3=CA11,2,0)+IF(OR(AND($BZ$3&gt;$CA$3,BZ11 &gt; CA11),AND($BZ$3 &lt; $CA$3,BZ11&lt;CA11),AND($BZ$3 = $CA$3,BZ11 = CA11)),5,0))</f>
        <v/>
      </c>
      <c r="CA12" s="157"/>
      <c r="CB12" s="157" t="str">
        <f>IF($CB$3="","",IF($CB$3=CB11,2,0)+IF($CC$3=CC11,2,0)+IF(OR(AND($CB$3&gt;$CC$3,CB11 &gt; CC11),AND($CB$3 &lt; $CC$3,CB11&lt;CC11),AND($CB$3 = $CC$3,CB11 = CC11)),5,0))</f>
        <v/>
      </c>
      <c r="CC12" s="157"/>
      <c r="CD12" s="157" t="str">
        <f>IF($CD$3="","",IF($CD$3=CD11,2,0)+IF($CE$3=CE11,2,0)+IF(OR(AND($CD$3&gt;$CE$3,CD11 &gt; CE11),AND($CD$3 &lt; $CE$3,CD11&lt;$CE$5),AND($CD$3 = $CE$3,CD11 = CE11)),5,0))</f>
        <v/>
      </c>
      <c r="CE12" s="157"/>
      <c r="CF12" s="157" t="str">
        <f>IF($CF$3="","",IF($CF$3=CF11,2,0)+IF($CG$3=CG11,2,0)+IF(OR(AND($CF$3&gt;$CG$3,CF11 &gt; CG11),AND($CF$3 &lt; $CG$3,CF11&lt;CG11),AND($CF$3 = $CG$3,CF11 = CG11)),5,0))</f>
        <v/>
      </c>
      <c r="CG12" s="157"/>
      <c r="CH12" s="157" t="str">
        <f>IF($CH$3="","",IF($CH$3=CH11,2,0)+IF($CI$3=CI11,2,0)+IF(OR(AND($CH$3&gt;$CI$3,CH11 &gt; CI11),AND($CH$3 &lt; $CI$3,CH11&lt;CI11),AND($CH$3 = $CI$3,CH11 = CI11)),5,0))</f>
        <v/>
      </c>
      <c r="CI12" s="157"/>
      <c r="CJ12" s="157" t="str">
        <f>IF($CJ$3="","",IF($CJ$3=CJ11,2,0)+IF($CK$3=CK11,2,0)+IF(OR(AND($CJ$3&gt;$CK$3,CJ11 &gt; CK11),AND($CJ$3 &lt; $CK$3,CJ11&lt;CK11),AND($CJ$3 = $CK$3,CJ11 = CK11)),5,0))</f>
        <v/>
      </c>
      <c r="CK12" s="157"/>
      <c r="CL12" s="157" t="str">
        <f>IF($CL$3="","",IF($CL$3=CL11,2,0)+IF($CM$3=CM11,2,0)+IF(OR(AND($CL$3&gt;$CM$3,CL11 &gt; CM11),AND($CL$3 &lt; $CM$3,CL11&lt;CM11),AND($CL$3 = $CM$3,CL11 = CM11)),5,0))</f>
        <v/>
      </c>
      <c r="CM12" s="157"/>
      <c r="CN12" s="157" t="str">
        <f>IF($CN$3="","",IF($CN$3=CN11,2,0)+IF($CO$3=CO11,2,0)+IF(OR(AND($CN$3&gt;$CO$3,CN11 &gt; CO11),AND($CN$3 &lt; $CO$3,CN11&lt;CO11),AND($CN$3 = $CO$3,CN11 = CO11)),5,0))</f>
        <v/>
      </c>
      <c r="CO12" s="157"/>
      <c r="CP12" s="157" t="str">
        <f>IF($CP$3="","",IF($CP$3=CP11,2,0)+IF($CQ$3=CQ11,2,0)+IF(OR(AND($CP$3&gt;$CQ$3,CP11 &gt; CQ11),AND($CP$3 &lt; $CQ$3,CP11&lt;CQ11),AND($CP$3 = $CQ$3,CP11 = CQ11)),5,0))</f>
        <v/>
      </c>
      <c r="CQ12" s="157"/>
      <c r="CR12" s="157" t="str">
        <f>IF($CR$3="","",IF($CR$3=CR11,2,0)+IF($CS$3=CS11,2,0)+IF(OR(AND($CR$3&gt;$CS$3,CR11 &gt; CS11),AND($CR$3 &lt; $CS$3,CR11&lt;CS11),AND($CR$3 = $CS$3,CR11 = CS11)),5,0))</f>
        <v/>
      </c>
      <c r="CS12" s="154"/>
      <c r="CT12" s="24">
        <f>SUM(B12:CS12)</f>
        <v>12</v>
      </c>
      <c r="CU12" s="12">
        <f>IF(AND(CW10=$CW$2,CW10&lt;&gt;""),2,0)+IF(AND(CX10=$CX$2,CX10&lt;&gt;""),2,0)+IF(AND(CY10=$CY$2,CY10&lt;&gt;""),2,0)+IF(AND(CZ10=$CZ$2,CZ10&lt;&gt;""),2,0)+IF(AND(DA10=$DA$2,DA10&lt;&gt;""),2,0)+IF(AND(DB10=$DB$2,DB10&lt;&gt;""),2,0)+IF(AND(DC10=$DC$2,DC10&lt;&gt;""),2,0)+IF(AND(DD10=$DD$2,DD10&lt;&gt;""),2,0)+IF(AND(DE10=$DE$2,DE10&lt;&gt;""),2,0)+IF(AND(DF10=$DF$2,DF10&lt;&gt;""),2,0)+IF(AND(DG10=$DG$2,DG10&lt;&gt;""),2,0)+IF(AND(DH10=$DH$2,DH10&lt;&gt;""),2,0)+IF(AND(DI10=$DI$2,DI10&lt;&gt;""),2,0)+IF(AND(DJ10=$DJ$2,DJ10&lt;&gt;""),2,0)+IF(AND(DK10=$DK$2,DK10&lt;&gt;""),2,0)+IF(AND(DL10=$DL$2,DL10&lt;&gt;""),2,0)</f>
        <v>0</v>
      </c>
      <c r="CV12" s="11">
        <f>CT12+CU12</f>
        <v>12</v>
      </c>
      <c r="CW12" s="156" t="str">
        <f>IF($CW$3="","",IF($CW$3=CW11,2,0)+IF($CX$3=CX11,2,0)+IF(OR(AND($CW$3&gt;$CX$3,CW11 &gt; CX11),AND($CW$3 &lt; $CX$3,CW11&lt;CX11),AND($CW$3 = $CX$3,CW11 = CX11)),5,0))</f>
        <v/>
      </c>
      <c r="CX12" s="157"/>
      <c r="CY12" s="157" t="str">
        <f>IF($CY$3="","",IF($CY$3=CY11,2,0)+IF($CZ$3=CZ11,2,0)+IF(OR(AND($CY$3&gt;$CZ$3,CY11 &gt; CZ11),AND($CY$3 &lt; $CZ$3,CY11&lt;CZ11),AND($CY$3 = $CZ$3,CY11 = CZ11)),5,0))</f>
        <v/>
      </c>
      <c r="CZ12" s="157"/>
      <c r="DA12" s="157" t="str">
        <f>IF($DA9="","",IF($DA$3=DA11,2,0)+IF($DB$3=DB11,2,0)+IF(OR(AND($DA$3&gt;$DB$3,DA11 &gt; DB11),AND($DA$3 &lt; $DB$3,DA11&lt;DB11),AND($DA$3 = $DB$3,DA11 = DB11)),5,0))</f>
        <v/>
      </c>
      <c r="DB12" s="157"/>
      <c r="DC12" s="157" t="str">
        <f>IF($DC$3="","",IF($DC$3=DC11,2,0)+IF($DD$3=DD11,2,0)+IF(OR(AND($DC$3&gt;$DD$3,DC11 &gt; DD11),AND($DC$3 &lt; $DD$3,DC11&lt;DD11),AND($DC$3 = $DD$3,DC11 = DD11)),5,0))</f>
        <v/>
      </c>
      <c r="DD12" s="157"/>
      <c r="DE12" s="157" t="str">
        <f>IF($DE$3="","",IF($DE$3=DE11,2,0)+IF($DF$3=DF11,2,0)+IF(OR(AND($DE$3&gt;$DF$3,DE11 &gt; DF11),AND($DE$3 &lt; $DF$3,DE11&lt;DF11),AND($DE$3 = $DF$3,DE11 = DF11)),5,0))</f>
        <v/>
      </c>
      <c r="DF12" s="157"/>
      <c r="DG12" s="157" t="str">
        <f>IF($DG$3="","",IF($DG$3=DG11,2,0)+IF($DH$3=DH11,2,0)+IF(OR(AND($DG$3&gt;$DH$3,DG11 &gt; DH11),AND($DG$3 &lt; $DH$3,DG11&lt;DH11),AND($DG$3 = $DH$3,DG11 = DH11)),5,0))</f>
        <v/>
      </c>
      <c r="DH12" s="157"/>
      <c r="DI12" s="157" t="str">
        <f>IF($DI$3="","",IF($DI$3=DI11,2,0)+IF($DJ$3=DJ11,2,0)+IF(OR(AND($DI$3&gt;$DJ$3,DI11 &gt; DJ11),AND($DI$3 &lt; $DJ$3,DI11&lt;DJ11),AND($DI$3 = $DJ$3,DI11 = DJ11)),5,0))</f>
        <v/>
      </c>
      <c r="DJ12" s="157"/>
      <c r="DK12" s="157" t="str">
        <f>IF($DK$3="","",IF($DK$3=DK11,2,0)+IF($DL$3=DL11,2,0)+IF(OR(AND($DK$3&gt;$DL$3,DK11 &gt; DL11),AND($DK$3 &lt; $DL$3,DK11&lt;DL11),AND($DK$3 = $DL$3,DK11 = DL11)),5,0))</f>
        <v/>
      </c>
      <c r="DL12" s="154"/>
      <c r="DM12" s="24">
        <f>SUM(CW12:DL12)</f>
        <v>0</v>
      </c>
      <c r="DN12" s="12">
        <f>IF(AND(DP10=$DP$2,DP10&lt;&gt;""),2,0)+IF(AND(DQ10=$DQ$2,DQ10&lt;&gt;""),2,0)+IF(AND(DR10=$DR$2,DR10&lt;&gt;""),2,0)+IF(AND(DS10=$DS$2,DS10&lt;&gt;""),2,0)+IF(AND(DT10=$DT$2,DT10&lt;&gt;""),2,0)+IF(AND(DU10=$DU$2,DU10&lt;&gt;""),2,0)+IF(AND(DV10=$DV$2,DV10&lt;&gt;""),2,0)+IF(AND(DW10=$DW$2,DW10&lt;&gt;""),2,0)</f>
        <v>0</v>
      </c>
      <c r="DO12" s="11">
        <f>CV12+DM12+DN12</f>
        <v>12</v>
      </c>
      <c r="DP12" s="159" t="str">
        <f>IF($DP$3="","",IF($DP$3=DP11,2,0)+IF($DQ$3=DQ11,2,0)+IF(OR(AND($DP$3&gt;$DQ$3,DP11 &gt; DQ11),AND($DP$3 &lt; $DQ$3,DP11&lt;DQ11),AND($DP$3 = $DQ$3,DP11 = DQ11)),5,0))</f>
        <v/>
      </c>
      <c r="DQ12" s="160"/>
      <c r="DR12" s="154" t="str">
        <f>IF($DR$3="","",IF($DR$3=DR11,2,0)+IF($DS$3=DS11,2,0)+IF(OR(AND($DR$3&gt;$DS$3,DR11 &gt; DS11),AND($DR$3 &lt; $DS$3,DR11&lt;DS11),AND($DR$3 = $DS$3,DR11 = DS11)),5,0))</f>
        <v/>
      </c>
      <c r="DS12" s="160"/>
      <c r="DT12" s="154" t="str">
        <f>IF($DT$3="","",IF($DT$3=DT11,2,0)+IF($DU$3=DU11,2,0)+IF(OR(AND($DT$3&gt;$DU$3,DT11 &gt; DU11),AND($DT$3 &lt; $DU$3,DT11&lt;DU11),AND($DT$3 = $DU$3,DT11 = DU11)),5,0))</f>
        <v/>
      </c>
      <c r="DU12" s="160"/>
      <c r="DV12" s="154" t="str">
        <f>IF($DV$3="","",IF($DV9=DV11,2,0)+IF($DW$3=DW11,2,0)+IF(OR(AND($DV$3&gt;$DW$3,DV11 &gt; DW11),AND($DV$3 &lt; $DW$3,DV11&lt;DW11),AND($DV$3 = $DW$3,DV11 = DW11)),5,0))</f>
        <v/>
      </c>
      <c r="DW12" s="155"/>
      <c r="DX12" s="24">
        <f>SUM(DP12:DW12)</f>
        <v>0</v>
      </c>
      <c r="DY12" s="12">
        <f>IF(AND(EA10=$EA$2,EA10&lt;&gt;""),3,0)+IF(AND(EB10=$EB$2,EB10&lt;&gt;""),3,0)+IF(AND(EC10=$EC$2,EC10&lt;&gt;""),3,0)+IF(AND(ED10=$ED$2,ED10&lt;&gt;""),3,0)</f>
        <v>0</v>
      </c>
      <c r="DZ12" s="11">
        <f>DO12+DX12+DY12</f>
        <v>12</v>
      </c>
      <c r="EA12" s="156" t="str">
        <f>IF($EA$3="","",IF($EA$3=EA11,2,0)+IF($EB$3=EB11,2,0)+IF(OR(AND($EA$3&gt;$EB$3,EA11 &gt; EB11),AND($EA$3 &lt; $EB$3,EA11&lt;EB11),AND($EA$3 = $EB$3,EA11 = EB11)),5,0))</f>
        <v/>
      </c>
      <c r="EB12" s="157"/>
      <c r="EC12" s="157" t="str">
        <f>IF($EC$3="","",IF($EC$3=EC11,2,0)+IF($ED$3=ED11,2,0)+IF(OR(AND($EC$3&gt;$ED$3,EC11 &gt; ED11),AND($EC$3 &lt; $ED$3,EC11&lt;ED11),AND($EC$3 = $ED$3,EC11 = ED11)),5,0))</f>
        <v/>
      </c>
      <c r="ED12" s="154"/>
      <c r="EE12" s="24">
        <f>SUM(EA12:ED12)</f>
        <v>0</v>
      </c>
      <c r="EF12" s="12">
        <f>IF(AND(EH10=$EH$2,EH10&lt;&gt;""),3,0)+IF(AND(EI10=$EI$2,EI10&lt;&gt;""),3,0)</f>
        <v>0</v>
      </c>
      <c r="EG12" s="11">
        <f>DZ12+EE12+EF12</f>
        <v>12</v>
      </c>
      <c r="EH12" s="156" t="str">
        <f>IF($EH$3="","",IF($EH$3=EH11,2,0)+IF($EI$3=EI11,2,0)+IF(OR(AND($EH$3&gt;$EI$3,EH11 &gt; EI11),AND($EH$3 &lt; $EI$3,EH11&lt;EI11),AND($EH$3 = $EI$3,EH11 = EI11)),5,0))</f>
        <v/>
      </c>
      <c r="EI12" s="154"/>
      <c r="EJ12" s="24">
        <f>SUM(EH12:EI12)</f>
        <v>0</v>
      </c>
      <c r="EK12" s="12">
        <f>IF(AND(EM10=$EM$2,EM10&lt;&gt;""),5,0)+IF(AND(EN10=$EN$2,EN10&lt;&gt;""),5,0)</f>
        <v>0</v>
      </c>
      <c r="EL12" s="11">
        <f>EG12+EJ12+EK12</f>
        <v>12</v>
      </c>
      <c r="EM12" s="156" t="str">
        <f>IF($EM$3="","",IF($EM$3=EM11,2,0)+IF($EN$3=EN11,2,0)+IF(OR(AND($EM$3&gt;$EN$3,EM11 &gt; EN11),AND($EM$3 &lt; $EN$3,EM11&lt;EN11),AND($EM$3 = $EN$3,EM11 = EN11)),5,0))</f>
        <v/>
      </c>
      <c r="EN12" s="158"/>
      <c r="EO12" s="152"/>
      <c r="EP12" s="8" t="str">
        <f>EM12</f>
        <v/>
      </c>
      <c r="EQ12" s="20">
        <f>IF(AND(EO10=$EO$2,EO10&lt;&gt;""),10,0)</f>
        <v>0</v>
      </c>
      <c r="ER12" s="11" t="e">
        <f>EL12+EP12+EQ12</f>
        <v>#VALUE!</v>
      </c>
    </row>
    <row r="13" spans="1:148" s="145" customFormat="1" ht="24" thickBot="1" x14ac:dyDescent="0.35">
      <c r="A13" s="2"/>
      <c r="B13" s="43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43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6"/>
      <c r="BN13" s="43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17"/>
      <c r="CU13" s="18"/>
      <c r="CV13" s="19"/>
      <c r="CW13" s="73" t="s">
        <v>10</v>
      </c>
      <c r="CX13" s="74" t="s">
        <v>11</v>
      </c>
      <c r="CY13" s="75" t="s">
        <v>15</v>
      </c>
      <c r="CZ13" s="74" t="s">
        <v>22</v>
      </c>
      <c r="DA13" s="75" t="s">
        <v>19</v>
      </c>
      <c r="DB13" s="74" t="s">
        <v>17</v>
      </c>
      <c r="DC13" s="75" t="s">
        <v>12</v>
      </c>
      <c r="DD13" s="74" t="s">
        <v>7</v>
      </c>
      <c r="DE13" s="75" t="s">
        <v>23</v>
      </c>
      <c r="DF13" s="74" t="s">
        <v>28</v>
      </c>
      <c r="DG13" s="75" t="s">
        <v>34</v>
      </c>
      <c r="DH13" s="74" t="s">
        <v>38</v>
      </c>
      <c r="DI13" s="75" t="s">
        <v>27</v>
      </c>
      <c r="DJ13" s="74" t="s">
        <v>24</v>
      </c>
      <c r="DK13" s="75" t="s">
        <v>37</v>
      </c>
      <c r="DL13" s="74" t="s">
        <v>32</v>
      </c>
      <c r="DM13" s="14"/>
      <c r="DN13" s="15"/>
      <c r="DO13" s="16"/>
      <c r="DP13" s="70" t="s">
        <v>23</v>
      </c>
      <c r="DQ13" s="71" t="s">
        <v>34</v>
      </c>
      <c r="DR13" s="70" t="s">
        <v>10</v>
      </c>
      <c r="DS13" s="71" t="s">
        <v>15</v>
      </c>
      <c r="DT13" s="72" t="s">
        <v>12</v>
      </c>
      <c r="DU13" s="71" t="s">
        <v>19</v>
      </c>
      <c r="DV13" s="70" t="s">
        <v>27</v>
      </c>
      <c r="DW13" s="71" t="s">
        <v>37</v>
      </c>
      <c r="DX13" s="7"/>
      <c r="DY13" s="9"/>
      <c r="DZ13" s="10"/>
      <c r="EA13" s="67" t="s">
        <v>10</v>
      </c>
      <c r="EB13" s="68" t="s">
        <v>34</v>
      </c>
      <c r="EC13" s="69" t="s">
        <v>12</v>
      </c>
      <c r="ED13" s="68" t="s">
        <v>27</v>
      </c>
      <c r="EE13" s="7"/>
      <c r="EF13" s="9"/>
      <c r="EG13" s="10"/>
      <c r="EH13" s="65" t="s">
        <v>34</v>
      </c>
      <c r="EI13" s="66" t="s">
        <v>27</v>
      </c>
      <c r="EJ13" s="7"/>
      <c r="EK13" s="9"/>
      <c r="EL13" s="10"/>
      <c r="EM13" s="63" t="s">
        <v>10</v>
      </c>
      <c r="EN13" s="64" t="s">
        <v>12</v>
      </c>
      <c r="EO13" s="62" t="s">
        <v>50</v>
      </c>
      <c r="EP13" s="7"/>
      <c r="EQ13" s="9"/>
      <c r="ER13" s="10"/>
    </row>
    <row r="14" spans="1:148" s="151" customFormat="1" ht="16.5" thickBot="1" x14ac:dyDescent="0.35">
      <c r="A14" s="146" t="s">
        <v>49</v>
      </c>
      <c r="B14" s="51">
        <v>0</v>
      </c>
      <c r="C14" s="52">
        <v>0</v>
      </c>
      <c r="D14" s="53">
        <v>1</v>
      </c>
      <c r="E14" s="52">
        <v>2</v>
      </c>
      <c r="F14" s="53">
        <v>1</v>
      </c>
      <c r="G14" s="52">
        <v>2</v>
      </c>
      <c r="H14" s="53">
        <v>1</v>
      </c>
      <c r="I14" s="52">
        <v>1</v>
      </c>
      <c r="J14" s="53">
        <v>2</v>
      </c>
      <c r="K14" s="52">
        <v>0</v>
      </c>
      <c r="L14" s="53">
        <v>1</v>
      </c>
      <c r="M14" s="52">
        <v>0</v>
      </c>
      <c r="N14" s="53">
        <v>2</v>
      </c>
      <c r="O14" s="52">
        <v>0</v>
      </c>
      <c r="P14" s="53">
        <v>0</v>
      </c>
      <c r="Q14" s="52">
        <v>1</v>
      </c>
      <c r="R14" s="53">
        <v>2</v>
      </c>
      <c r="S14" s="52">
        <v>1</v>
      </c>
      <c r="T14" s="53">
        <v>2</v>
      </c>
      <c r="U14" s="52">
        <v>0</v>
      </c>
      <c r="V14" s="53">
        <v>2</v>
      </c>
      <c r="W14" s="52">
        <v>1</v>
      </c>
      <c r="X14" s="53">
        <v>2</v>
      </c>
      <c r="Y14" s="52">
        <v>0</v>
      </c>
      <c r="Z14" s="53">
        <v>0</v>
      </c>
      <c r="AA14" s="52">
        <v>1</v>
      </c>
      <c r="AB14" s="53">
        <v>0</v>
      </c>
      <c r="AC14" s="52">
        <v>2</v>
      </c>
      <c r="AD14" s="53">
        <v>0</v>
      </c>
      <c r="AE14" s="52">
        <v>1</v>
      </c>
      <c r="AF14" s="53">
        <v>1</v>
      </c>
      <c r="AG14" s="54">
        <v>1</v>
      </c>
      <c r="AH14" s="51">
        <v>1</v>
      </c>
      <c r="AI14" s="52">
        <v>0</v>
      </c>
      <c r="AJ14" s="53">
        <v>2</v>
      </c>
      <c r="AK14" s="52">
        <v>0</v>
      </c>
      <c r="AL14" s="53">
        <v>1</v>
      </c>
      <c r="AM14" s="52">
        <v>0</v>
      </c>
      <c r="AN14" s="53">
        <v>0</v>
      </c>
      <c r="AO14" s="52">
        <v>1</v>
      </c>
      <c r="AP14" s="53">
        <v>0</v>
      </c>
      <c r="AQ14" s="52">
        <v>0</v>
      </c>
      <c r="AR14" s="53">
        <v>1</v>
      </c>
      <c r="AS14" s="52">
        <v>0</v>
      </c>
      <c r="AT14" s="53">
        <v>1</v>
      </c>
      <c r="AU14" s="52">
        <v>0</v>
      </c>
      <c r="AV14" s="53">
        <v>1</v>
      </c>
      <c r="AW14" s="52">
        <v>0</v>
      </c>
      <c r="AX14" s="53">
        <v>2</v>
      </c>
      <c r="AY14" s="52">
        <v>0</v>
      </c>
      <c r="AZ14" s="53">
        <v>1</v>
      </c>
      <c r="BA14" s="52">
        <v>2</v>
      </c>
      <c r="BB14" s="53">
        <v>1</v>
      </c>
      <c r="BC14" s="52">
        <v>0</v>
      </c>
      <c r="BD14" s="53">
        <v>1</v>
      </c>
      <c r="BE14" s="52">
        <v>2</v>
      </c>
      <c r="BF14" s="53">
        <v>1</v>
      </c>
      <c r="BG14" s="52">
        <v>0</v>
      </c>
      <c r="BH14" s="53">
        <v>2</v>
      </c>
      <c r="BI14" s="52">
        <v>1</v>
      </c>
      <c r="BJ14" s="53">
        <v>0</v>
      </c>
      <c r="BK14" s="52">
        <v>1</v>
      </c>
      <c r="BL14" s="53">
        <v>1</v>
      </c>
      <c r="BM14" s="54">
        <v>0</v>
      </c>
      <c r="BN14" s="55">
        <v>1</v>
      </c>
      <c r="BO14" s="56">
        <v>1</v>
      </c>
      <c r="BP14" s="57">
        <v>1</v>
      </c>
      <c r="BQ14" s="56">
        <v>0</v>
      </c>
      <c r="BR14" s="57">
        <v>2</v>
      </c>
      <c r="BS14" s="56">
        <v>0</v>
      </c>
      <c r="BT14" s="57">
        <v>0</v>
      </c>
      <c r="BU14" s="56">
        <v>3</v>
      </c>
      <c r="BV14" s="57">
        <v>0</v>
      </c>
      <c r="BW14" s="56">
        <v>0</v>
      </c>
      <c r="BX14" s="57">
        <v>1</v>
      </c>
      <c r="BY14" s="56">
        <v>3</v>
      </c>
      <c r="BZ14" s="57">
        <v>1</v>
      </c>
      <c r="CA14" s="56">
        <v>1</v>
      </c>
      <c r="CB14" s="57">
        <v>0</v>
      </c>
      <c r="CC14" s="56">
        <v>1</v>
      </c>
      <c r="CD14" s="57">
        <v>1</v>
      </c>
      <c r="CE14" s="56">
        <v>1</v>
      </c>
      <c r="CF14" s="57">
        <v>0</v>
      </c>
      <c r="CG14" s="56">
        <v>4</v>
      </c>
      <c r="CH14" s="57">
        <v>1</v>
      </c>
      <c r="CI14" s="56">
        <v>1</v>
      </c>
      <c r="CJ14" s="57">
        <v>0</v>
      </c>
      <c r="CK14" s="56">
        <v>2</v>
      </c>
      <c r="CL14" s="57">
        <v>0</v>
      </c>
      <c r="CM14" s="56">
        <v>0</v>
      </c>
      <c r="CN14" s="57">
        <v>1</v>
      </c>
      <c r="CO14" s="56">
        <v>0</v>
      </c>
      <c r="CP14" s="57">
        <v>1</v>
      </c>
      <c r="CQ14" s="56">
        <v>2</v>
      </c>
      <c r="CR14" s="57">
        <v>0</v>
      </c>
      <c r="CS14" s="58">
        <v>0</v>
      </c>
      <c r="CT14" s="21"/>
      <c r="CU14" s="22"/>
      <c r="CV14" s="23"/>
      <c r="CW14" s="59">
        <v>1</v>
      </c>
      <c r="CX14" s="60">
        <v>0</v>
      </c>
      <c r="CY14" s="61">
        <v>2</v>
      </c>
      <c r="CZ14" s="60">
        <v>0</v>
      </c>
      <c r="DA14" s="61">
        <v>6</v>
      </c>
      <c r="DB14" s="60">
        <v>5</v>
      </c>
      <c r="DC14" s="61">
        <v>2</v>
      </c>
      <c r="DD14" s="60">
        <v>0</v>
      </c>
      <c r="DE14" s="61">
        <v>1</v>
      </c>
      <c r="DF14" s="60">
        <v>0</v>
      </c>
      <c r="DG14" s="61">
        <v>2</v>
      </c>
      <c r="DH14" s="60">
        <v>1</v>
      </c>
      <c r="DI14" s="61">
        <v>3</v>
      </c>
      <c r="DJ14" s="60">
        <v>1</v>
      </c>
      <c r="DK14" s="61">
        <v>1</v>
      </c>
      <c r="DL14" s="60">
        <v>0</v>
      </c>
      <c r="DM14" s="48"/>
      <c r="DN14" s="29"/>
      <c r="DO14" s="30"/>
      <c r="DP14" s="61">
        <v>0</v>
      </c>
      <c r="DQ14" s="60">
        <v>1</v>
      </c>
      <c r="DR14" s="61">
        <v>5</v>
      </c>
      <c r="DS14" s="60">
        <v>4</v>
      </c>
      <c r="DT14" s="61">
        <v>1</v>
      </c>
      <c r="DU14" s="60">
        <v>0</v>
      </c>
      <c r="DV14" s="61">
        <v>6</v>
      </c>
      <c r="DW14" s="60">
        <v>5</v>
      </c>
      <c r="DX14" s="27"/>
      <c r="DY14" s="25"/>
      <c r="DZ14" s="26"/>
      <c r="EA14" s="61">
        <v>1</v>
      </c>
      <c r="EB14" s="60">
        <v>0</v>
      </c>
      <c r="EC14" s="61">
        <v>2</v>
      </c>
      <c r="ED14" s="60">
        <v>1</v>
      </c>
      <c r="EE14" s="21"/>
      <c r="EF14" s="22"/>
      <c r="EG14" s="23"/>
      <c r="EH14" s="90">
        <v>0</v>
      </c>
      <c r="EI14" s="91">
        <v>1</v>
      </c>
      <c r="EJ14" s="21"/>
      <c r="EK14" s="22"/>
      <c r="EL14" s="23"/>
      <c r="EM14" s="90">
        <v>6</v>
      </c>
      <c r="EN14" s="91">
        <v>5</v>
      </c>
      <c r="EO14" s="153"/>
      <c r="EP14" s="21"/>
      <c r="EQ14" s="22"/>
      <c r="ER14" s="23"/>
    </row>
    <row r="15" spans="1:148" s="151" customFormat="1" ht="16.5" thickBot="1" x14ac:dyDescent="0.35">
      <c r="A15" s="42"/>
      <c r="B15" s="156">
        <f>IF($B$3="","",IF($B$3=B14,2,0)+IF($C$3=C14,2,0)+IF(OR(AND($B$3&gt;$C$3,B14 &gt; C14),AND($B$3 &lt; $C$3,B14&lt;C14),AND($B$3 = $C$3,B14 = C14)),5,0))</f>
        <v>2</v>
      </c>
      <c r="C15" s="161"/>
      <c r="D15" s="157">
        <f>IF($D$3="","",IF($D$3=D14,2,0)+IF($E$3=E14,2,0)+IF(OR(AND($D$3&gt;$E$3,D14 &gt; E14),AND($D$3 &lt; $E$3,D14&lt;E14),AND($D$3 = $E$3,D14 = E14)),5,0))</f>
        <v>5</v>
      </c>
      <c r="E15" s="157"/>
      <c r="F15" s="157" t="str">
        <f>IF($F$3="","",IF($F$3=F14,2,0)+IF($G$3=G14,2,0)+IF(OR(AND($F$3&gt;$G$3,F14 &gt; G14),AND($F$3 &lt; $G$3,F14&lt;G14),AND($F$3 = $G$3,F14 = G14)),5,0))</f>
        <v/>
      </c>
      <c r="G15" s="157"/>
      <c r="H15" s="157" t="str">
        <f>IF($H$3="","",IF($H$3=H14,2,0)+IF($I$3=I14,2,0)+IF(OR(AND($H$3&gt;$I$3,H14 &gt; I14),AND($H$3 &lt; $I$3,H14&lt;I14),AND($H$3 = $I$3,H14 = I14)),5,0))</f>
        <v/>
      </c>
      <c r="I15" s="157"/>
      <c r="J15" s="157" t="str">
        <f>IF($J$3="","",IF($J$3=J14,2,0)+IF($K$3=K14,2,0)+IF(OR(AND($J$3&gt;$K$3,J14 &gt; K14),AND($J$3 &lt; $K$3,J14&lt;K14),AND($J$3 = $K$3,J14 = K14)),5,0))</f>
        <v/>
      </c>
      <c r="K15" s="157"/>
      <c r="L15" s="157" t="str">
        <f>IF($L$3="","",IF($L$3=L14,2,0)+IF($M$3=M14,2,0)+IF(OR(AND($L$3&gt;$M$3,L14 &gt; M14),AND($L$3 &lt; $M$3,L14&lt;M14),AND($L$3 = $M$3,L14 = M14)),5,0))</f>
        <v/>
      </c>
      <c r="M15" s="157"/>
      <c r="N15" s="157" t="str">
        <f>IF($N$3="","",IF($N$3=N14,2,0)+IF($O$3=O14,2,0)+IF(OR(AND($N$3&gt;$O$3,N14 &gt; O14),AND($N$3 &lt; $O$3,N14&lt;O14),AND($N$3 = $O$3,N14 = O14)),5,0))</f>
        <v/>
      </c>
      <c r="O15" s="157"/>
      <c r="P15" s="157" t="str">
        <f>IF($P$3="","",IF($P$3=P14,2,0)+IF($Q$3=Q14,2,0)+IF(OR(AND($P$3&gt;$Q$3,P14 &gt; Q14),AND($P$3 &lt; $Q$3,P14&lt;Q14),AND($P$3 = $Q$3,P14 = Q14)),5,0))</f>
        <v/>
      </c>
      <c r="Q15" s="157"/>
      <c r="R15" s="157" t="str">
        <f>IF($R$3="","",IF($R$3=R14,2,0)+IF($S$3=S14,2,0)+IF(OR(AND($R$3&gt;$S$3,R14 &gt; S14),AND($R$3 &lt; $S$3,R14&lt;S14),AND($R$3 = $S$3,R14 = S14)),5,0))</f>
        <v/>
      </c>
      <c r="S15" s="157"/>
      <c r="T15" s="157" t="str">
        <f>IF($T$3="","",IF($T$3=T14,2,0)+IF($U$3=U14,2,0)+IF(OR(AND($T$3&gt;$U$3,T14 &gt; U14),AND($T$3 &lt; $U$3,T14&lt;U14),AND($T$3 = $U$3,T14 = U14)),5,0))</f>
        <v/>
      </c>
      <c r="U15" s="157"/>
      <c r="V15" s="157" t="str">
        <f>IF($V$3="","",IF($V$3=V14,2,0)+IF($W$3=W14,2,0)+IF(OR(AND($V$3&gt;$W$3,V14 &gt; W14),AND($V$3 &lt; $W$3,V14&lt;W14),AND($V$3 = $W$3,V14 = W14)),5,0))</f>
        <v/>
      </c>
      <c r="W15" s="157"/>
      <c r="X15" s="157" t="str">
        <f>IF($X$3="","",IF($X$3=X14,2,0)+IF($Y$3=Y14,2,0)+IF(OR(AND($X$3&gt;$Y$3,X14 &gt; Y14),AND($X$3 &lt; $Y$3,X14&lt;Y14),AND($X$3 = $Y$3,X14 = Y14)),5,0))</f>
        <v/>
      </c>
      <c r="Y15" s="157"/>
      <c r="Z15" s="157" t="str">
        <f>IF($Z$3="","",IF($Z$3=Z14,2,0)+IF($AA$3=AA14,2,0)+IF(OR(AND($Z$3&gt;$AA$3,Z14 &gt; AA14),AND($Z$3 &lt; $AA$3,Z14&lt;AA14),AND($Z$3 = $AA$3,Z14 = AA14)),5,0))</f>
        <v/>
      </c>
      <c r="AA15" s="157"/>
      <c r="AB15" s="157" t="str">
        <f>IF($AB$3="","",IF($AB$3=AB14,2,0)+IF($AC$3=AC14,2,0)+IF(OR(AND($AB$3&gt;$AC$3,AB14 &gt; AC14),AND($AB$3 &lt; $AC$3,AB14&lt;AC14),AND($AB$3 = $AC$3,AB14 = AC14)),5,0))</f>
        <v/>
      </c>
      <c r="AC15" s="157"/>
      <c r="AD15" s="157" t="str">
        <f>IF($AD$3="","",IF($AD$3=AD14,2,0)+IF($AE$3=AE14,2,0)+IF(OR(AND($AD$3&gt;$AE$3,AD14 &gt; AE14),AND($AD$3 &lt; $AE$3,AD14&lt;AE14),AND($AD$3 = $AE$3,AD14 = AE14)),5,0))</f>
        <v/>
      </c>
      <c r="AE15" s="157"/>
      <c r="AF15" s="157" t="str">
        <f>IF($AF$3="","",IF($AF$3=AF14,2,0)+IF($AG$3=AG14,2,0)+IF(OR(AND($AF$3&gt;$AG$3,AF14 &gt; AG14),AND($AF$3 &lt; $AG$3,AF14&lt;AG14),AND($AF$3 = $AG$3,AF14 = AG14)),5,0))</f>
        <v/>
      </c>
      <c r="AG15" s="158"/>
      <c r="AH15" s="160" t="str">
        <f>IF($AH$3="","",IF($AH$3=AH14,2,0)+IF($AI$3=AI14,2,0)+IF(OR(AND($AH$3&gt;$AI$3,AH14 &gt; AI14),AND($AH$3 &lt; $AI$3,AH14&lt;AI14),AND($AH$3 = $AI$3,AH14 = AI14)),5,0))</f>
        <v/>
      </c>
      <c r="AI15" s="157"/>
      <c r="AJ15" s="157" t="str">
        <f>IF($AJ$3="","",IF($AJ$3=AJ14,2,0)+IF($AK$3=AK14,2,0)+IF(OR(AND($AJ$3&gt;$AK$3,AJ14 &gt; AK14),AND($AJ$3 &lt; $AK$3,AJ14&lt;AK14),AND($AJ$3 = $AK$3,AJ14 = AK14)),5,0))</f>
        <v/>
      </c>
      <c r="AK15" s="157"/>
      <c r="AL15" s="157" t="str">
        <f>IF($AL$3="","",IF($AL$3=AL14,2,0)+IF($AM$3=AM14,2,0)+IF(OR(AND($AL$3&gt;$AM$3,AL14 &gt; AM14),AND($AL$3 &lt; $AM$3,AL14&lt;AM14),AND($AL$3 = $AM$3,AL14 = AM14)),5,0))</f>
        <v/>
      </c>
      <c r="AM15" s="157"/>
      <c r="AN15" s="157" t="str">
        <f>IF($AN$3="","",IF($AN$3=AN14,2,0)+IF($AO$3=AO14,2,0)+IF(OR(AND($AN$3&gt;$AO$3,AN14 &gt; AO14),AND($AN$3 &lt; $AO$3,AN14&lt;AO14),AND($AN$3 = $AO$3,AN14 = AO14)),5,0))</f>
        <v/>
      </c>
      <c r="AO15" s="157"/>
      <c r="AP15" s="157" t="str">
        <f>IF($AP$3="","",IF($AP$3=AP14,2,0)+IF($AQ$3=AQ14,2,0)+IF(OR(AND($AP$3&gt;$AQ$3,AP14 &gt; AQ14),AND($AP$3 &lt; $AQ$3,AP14&lt;AQ14),AND($AP$3 = $AQ$3,AP14 = AQ14)),5,0))</f>
        <v/>
      </c>
      <c r="AQ15" s="157"/>
      <c r="AR15" s="157" t="str">
        <f>IF($AR$3="","",IF($AR$3=AR14,2,0)+IF($AS$3=AS14,2,0)+IF(OR(AND($AR$3&gt;$AS$3,AR14 &gt; AS14),AND($AR$3 &lt; $AS$3,AR14&lt;AS14),AND($AR$3 = $AS$3,AR14 = AS14)),5,0))</f>
        <v/>
      </c>
      <c r="AS15" s="157"/>
      <c r="AT15" s="157" t="str">
        <f>IF($AT$3="","",IF($AT$3=AT14,2,0)+IF($AU$3=AU14,2,0)+IF(OR(AND($AT$3&gt;$AU$3,AT14 &gt; AU14),AND($AT$3 &lt; $AU$3,AT14&lt;AU14),AND($AT$3 = $AU$3,AT14 = AU14)),5,0))</f>
        <v/>
      </c>
      <c r="AU15" s="157"/>
      <c r="AV15" s="157" t="str">
        <f>IF($AV$3="","",IF($AV$3=AV14,2,0)+IF($AW$3=AW14,2,0)+IF(OR(AND($AV$3&gt;$AW$3,AV14 &gt; AW14),AND($AV$3 &lt; $AW$3,AV14&lt;AW14),AND($AV$3 = $AW$3,AV14 = AW14)),5,0))</f>
        <v/>
      </c>
      <c r="AW15" s="157"/>
      <c r="AX15" s="157" t="str">
        <f>IF($AX$3="","",IF($AX$3=AX14,2,0)+IF($AY$3=AY14,2,0)+IF(OR(AND($AX$3&gt;$AY$3,AX14 &gt; AY14),AND($AX$3 &lt; $AY$3,AX14&lt;AY14),AND($AX$3 = $AY$3,AX14 = AY14)),5,0))</f>
        <v/>
      </c>
      <c r="AY15" s="157"/>
      <c r="AZ15" s="157" t="str">
        <f>IF($AZ$3="","",IF($AZ$3=AZ14,2,0)+IF($BA$3=BA14,2,0)+IF(OR(AND($AZ$3&gt;$BA$3,AZ14 &gt; BA14),AND($AZ$3 &lt; $BA$3,AZ14&lt;BA14),AND($AZ$3 = $BA$3,AZ14 = BA14)),5,0))</f>
        <v/>
      </c>
      <c r="BA15" s="157"/>
      <c r="BB15" s="157" t="str">
        <f>IF($BB$3="","",IF($BB$3=BB14,2,0)+IF($BC$3=BC14,2,0)+IF(OR(AND($BB$3&gt;$BC$3,BB14 &gt; BC14),AND($BB$3 &lt; $BC$3,BB14&lt;BC14),AND($BB$3 = $BC$3,BB14 = BC14)),5,0))</f>
        <v/>
      </c>
      <c r="BC15" s="157"/>
      <c r="BD15" s="157" t="str">
        <f>IF($BD$3="","",IF($BD$3=BD14,2,0)+IF($BE$3=BE14,2,0)+IF(OR(AND($BD$3&gt;$BE$3,BD14 &gt; BE14),AND($BD$3 &lt; $BE$3,BD14&lt;BE14),AND($BD$3 = $BE$3,BD14 = BE14)),5,0))</f>
        <v/>
      </c>
      <c r="BE15" s="157"/>
      <c r="BF15" s="157" t="str">
        <f>IF($BF$3="","",IF($BF$3=BF14,2,0)+IF($BG$3=BG14,2,0)+IF(OR(AND($BF$3&gt;$BG$3,BF14 &gt; BG14),AND($BF$3 &lt; $BG$3,BF14&lt;BG14),AND($BF$3 = $BG$3,BF14 = BG14)),5,0))</f>
        <v/>
      </c>
      <c r="BG15" s="157"/>
      <c r="BH15" s="157" t="str">
        <f>IF($BH$3="","",IF($BH$3=BH14,2,0)+IF($BI$3=BI14,2,0)+IF(OR(AND($BH$3&gt;$BI$3,BH14 &gt; BI14),AND($BH$3 &lt; $BI$3,BH14&lt;BI14),AND($BH$3 = $BI$3,BH14 = BI14)),5,0))</f>
        <v/>
      </c>
      <c r="BI15" s="157"/>
      <c r="BJ15" s="157" t="str">
        <f>IF($BJ$3="","",IF($BJ$3=BJ14,2,0)+IF($BK$3=BK14,2,0)+IF(OR(AND($BJ$3&gt;$BK$3,BJ14 &gt; BK14),AND($BJ$3 &lt; $BK$3,BJ14&lt;BK14),AND($BJ$3 = $BK$3,BJ14 = BK14)),5,0))</f>
        <v/>
      </c>
      <c r="BK15" s="157"/>
      <c r="BL15" s="157" t="str">
        <f>IF($BL$3="","",IF($BL$3=BL14,2,0)+IF($BM$3=BM14,2,0)+IF(OR(AND($BL$3&gt;$BM$3,BL14 &gt; BM14),AND($BL$3 &lt; $BM$3,BL14&lt;BM14),AND($BL$3 = $BM$3,BL14 = BM14)),5,0))</f>
        <v/>
      </c>
      <c r="BM15" s="154"/>
      <c r="BN15" s="156" t="str">
        <f>IF($BN$3="","",IF($BN$3=BN14,2,0)+IF($BO$3=BO14,2,0)+IF(OR(AND($BN$3&gt;$BO$3,BN14 &gt; BO14),AND($BN$3 &lt; $BO$3,BN14&lt;BO14),AND($BN$3 = $BO$3,BN14 = BO14)),5,0))</f>
        <v/>
      </c>
      <c r="BO15" s="157"/>
      <c r="BP15" s="157" t="str">
        <f>IF($BP$3="","",IF($BP$3=BP14,2,0)+IF($BQ$3=BQ14,2,0)+IF(OR(AND($BP$3&gt;$BQ$3,BP14 &gt; BQ14),AND($BP$3 &lt; $BQ$3,BP14&lt;BQ14),AND($BP$3 = $BQ$3,BP14 = BQ14)),5,0))</f>
        <v/>
      </c>
      <c r="BQ15" s="157"/>
      <c r="BR15" s="157" t="str">
        <f>IF($BR$3="","",IF($BR$3=BR14,2,0)+IF($BS$3=BS14,2,0)+IF(OR(AND($BR$3&gt;$BS$3,BR14 &gt; BS14),AND($BR$3 &lt; $BS$3,BR14&lt;BS14),AND($BR$3 = $BS$3,BR14 = BS14)),5,0))</f>
        <v/>
      </c>
      <c r="BS15" s="157"/>
      <c r="BT15" s="157" t="str">
        <f>IF($BT$3="","",IF($BT$3=BT14,2,0)+IF($BU$3=BU14,2,0)+IF(OR(AND($BT$3&gt;$BU$3,BT14 &gt; BU14),AND($BT$3 &lt; $BU$3,BT14&lt;BU14),AND($BT$3 = $BU$3,BT14 = BU14)),5,0))</f>
        <v/>
      </c>
      <c r="BU15" s="157"/>
      <c r="BV15" s="157" t="str">
        <f>IF($BV$3="","",IF($BV$3=BV14,2,0)+IF($BW$3=BW14,2,0)+IF(OR(AND($BV$3&gt;$BW$3,BV14 &gt; BW14),AND($BV$3 &lt; $BW$3,BV14&lt;BW14),AND($BV$3 = $BW$3,BV14 = BW14)),5,0))</f>
        <v/>
      </c>
      <c r="BW15" s="157"/>
      <c r="BX15" s="157" t="str">
        <f>IF($BX$3="","",IF($BX$3=BX14,2,0)+IF($BY$3=BY14,2,0)+IF(OR(AND($BX$3&gt;$BY$3,BX14 &gt; BY14),AND($BX$3 &lt; $BY$3,BX14&lt;BY14),AND($BX$3 = $BY$3,BX14 = BY14)),5,0))</f>
        <v/>
      </c>
      <c r="BY15" s="157"/>
      <c r="BZ15" s="157" t="str">
        <f>IF($BZ$3="","",IF($BZ$3=BZ14,2,0)+IF($CA$3=CA14,2,0)+IF(OR(AND($BZ$3&gt;$CA$3,BZ14 &gt; CA14),AND($BZ$3 &lt; $CA$3,BZ14&lt;CA14),AND($BZ$3 = $CA$3,BZ14 = CA14)),5,0))</f>
        <v/>
      </c>
      <c r="CA15" s="157"/>
      <c r="CB15" s="157" t="str">
        <f>IF($CB$3="","",IF($CB$3=CB14,2,0)+IF($CC$3=CC14,2,0)+IF(OR(AND($CB$3&gt;$CC$3,CB14 &gt; CC14),AND($CB$3 &lt; $CC$3,CB14&lt;CC14),AND($CB$3 = $CC$3,CB14 = CC14)),5,0))</f>
        <v/>
      </c>
      <c r="CC15" s="157"/>
      <c r="CD15" s="157" t="str">
        <f>IF($CD$3="","",IF($CD$3=CD14,2,0)+IF($CE$3=CE14,2,0)+IF(OR(AND($CD$3&gt;$CE$3,CD14 &gt; CE14),AND($CD$3 &lt; $CE$3,CD14&lt;$CE$5),AND($CD$3 = $CE$3,CD14 = CE14)),5,0))</f>
        <v/>
      </c>
      <c r="CE15" s="157"/>
      <c r="CF15" s="157" t="str">
        <f>IF($CF$3="","",IF($CF$3=CF14,2,0)+IF($CG$3=CG14,2,0)+IF(OR(AND($CF$3&gt;$CG$3,CF14 &gt; CG14),AND($CF$3 &lt; $CG$3,CF14&lt;CG14),AND($CF$3 = $CG$3,CF14 = CG14)),5,0))</f>
        <v/>
      </c>
      <c r="CG15" s="157"/>
      <c r="CH15" s="157" t="str">
        <f>IF($CH$3="","",IF($CH$3=CH14,2,0)+IF($CI$3=CI14,2,0)+IF(OR(AND($CH$3&gt;$CI$3,CH14 &gt; CI14),AND($CH$3 &lt; $CI$3,CH14&lt;CI14),AND($CH$3 = $CI$3,CH14 = CI14)),5,0))</f>
        <v/>
      </c>
      <c r="CI15" s="157"/>
      <c r="CJ15" s="157" t="str">
        <f>IF($CJ$3="","",IF($CJ$3=CJ14,2,0)+IF($CK$3=CK14,2,0)+IF(OR(AND($CJ$3&gt;$CK$3,CJ14 &gt; CK14),AND($CJ$3 &lt; $CK$3,CJ14&lt;CK14),AND($CJ$3 = $CK$3,CJ14 = CK14)),5,0))</f>
        <v/>
      </c>
      <c r="CK15" s="157"/>
      <c r="CL15" s="157" t="str">
        <f>IF($CL$3="","",IF($CL$3=CL14,2,0)+IF($CM$3=CM14,2,0)+IF(OR(AND($CL$3&gt;$CM$3,CL14 &gt; CM14),AND($CL$3 &lt; $CM$3,CL14&lt;CM14),AND($CL$3 = $CM$3,CL14 = CM14)),5,0))</f>
        <v/>
      </c>
      <c r="CM15" s="157"/>
      <c r="CN15" s="157" t="str">
        <f>IF($CN$3="","",IF($CN$3=CN14,2,0)+IF($CO$3=CO14,2,0)+IF(OR(AND($CN$3&gt;$CO$3,CN14 &gt; CO14),AND($CN$3 &lt; $CO$3,CN14&lt;CO14),AND($CN$3 = $CO$3,CN14 = CO14)),5,0))</f>
        <v/>
      </c>
      <c r="CO15" s="157"/>
      <c r="CP15" s="157" t="str">
        <f>IF($CP$3="","",IF($CP$3=CP14,2,0)+IF($CQ$3=CQ14,2,0)+IF(OR(AND($CP$3&gt;$CQ$3,CP14 &gt; CQ14),AND($CP$3 &lt; $CQ$3,CP14&lt;CQ14),AND($CP$3 = $CQ$3,CP14 = CQ14)),5,0))</f>
        <v/>
      </c>
      <c r="CQ15" s="157"/>
      <c r="CR15" s="157" t="str">
        <f>IF($CR$3="","",IF($CR$3=CR14,2,0)+IF($CS$3=CS14,2,0)+IF(OR(AND($CR$3&gt;$CS$3,CR14 &gt; CS14),AND($CR$3 &lt; $CS$3,CR14&lt;CS14),AND($CR$3 = $CS$3,CR14 = CS14)),5,0))</f>
        <v/>
      </c>
      <c r="CS15" s="154"/>
      <c r="CT15" s="24">
        <f>SUM(B15:CS15)</f>
        <v>7</v>
      </c>
      <c r="CU15" s="12">
        <f>IF(AND(CW13=$CW$2,CW13&lt;&gt;""),2,0)+IF(AND(CX13=$CX$2,CX13&lt;&gt;""),2,0)+IF(AND(CY13=$CY$2,CY13&lt;&gt;""),2,0)+IF(AND(CZ13=$CZ$2,CZ13&lt;&gt;""),2,0)+IF(AND(DA13=$DA$2,DA13&lt;&gt;""),2,0)+IF(AND(DB13=$DB$2,DB13&lt;&gt;""),2,0)+IF(AND(DC13=$DC$2,DC13&lt;&gt;""),2,0)+IF(AND(DD13=$DD$2,DD13&lt;&gt;""),2,0)+IF(AND(DE13=$DE$2,DE13&lt;&gt;""),2,0)+IF(AND(DF13=$DF$2,DF13&lt;&gt;""),2,0)+IF(AND(DG13=$DG$2,DG13&lt;&gt;""),2,0)+IF(AND(DH13=$DH$2,DH13&lt;&gt;""),2,0)+IF(AND(DI13=$DI$2,DI13&lt;&gt;""),2,0)+IF(AND(DJ13=$DJ$2,DJ13&lt;&gt;""),2,0)+IF(AND(DK13=$DK$2,DK13&lt;&gt;""),2,0)+IF(AND(DL13=$DL$2,DL13&lt;&gt;""),2,0)</f>
        <v>0</v>
      </c>
      <c r="CV15" s="11">
        <f>CT15+CU15</f>
        <v>7</v>
      </c>
      <c r="CW15" s="156" t="str">
        <f>IF($CW$3="","",IF($CW$3=CW14,2,0)+IF($CX$3=CX14,2,0)+IF(OR(AND($CW$3&gt;$CX$3,CW14 &gt; CX14),AND($CW$3 &lt; $CX$3,CW14&lt;CX14),AND($CW$3 = $CX$3,CW14 = CX14)),5,0))</f>
        <v/>
      </c>
      <c r="CX15" s="157"/>
      <c r="CY15" s="157" t="str">
        <f>IF($CY$3="","",IF($CY$3=CY14,2,0)+IF($CZ$3=CZ14,2,0)+IF(OR(AND($CY$3&gt;$CZ$3,CY14 &gt; CZ14),AND($CY$3 &lt; $CZ$3,CY14&lt;CZ14),AND($CY$3 = $CZ$3,CY14 = CZ14)),5,0))</f>
        <v/>
      </c>
      <c r="CZ15" s="157"/>
      <c r="DA15" s="157" t="str">
        <f>IF($DA12="","",IF($DA$3=DA14,2,0)+IF($DB$3=DB14,2,0)+IF(OR(AND($DA$3&gt;$DB$3,DA14 &gt; DB14),AND($DA$3 &lt; $DB$3,DA14&lt;DB14),AND($DA$3 = $DB$3,DA14 = DB14)),5,0))</f>
        <v/>
      </c>
      <c r="DB15" s="157"/>
      <c r="DC15" s="157" t="str">
        <f>IF($DC$3="","",IF($DC$3=DC14,2,0)+IF($DD$3=DD14,2,0)+IF(OR(AND($DC$3&gt;$DD$3,DC14 &gt; DD14),AND($DC$3 &lt; $DD$3,DC14&lt;DD14),AND($DC$3 = $DD$3,DC14 = DD14)),5,0))</f>
        <v/>
      </c>
      <c r="DD15" s="157"/>
      <c r="DE15" s="157" t="str">
        <f>IF($DE$3="","",IF($DE$3=DE14,2,0)+IF($DF$3=DF14,2,0)+IF(OR(AND($DE$3&gt;$DF$3,DE14 &gt; DF14),AND($DE$3 &lt; $DF$3,DE14&lt;DF14),AND($DE$3 = $DF$3,DE14 = DF14)),5,0))</f>
        <v/>
      </c>
      <c r="DF15" s="157"/>
      <c r="DG15" s="157" t="str">
        <f>IF($DG$3="","",IF($DG$3=DG14,2,0)+IF($DH$3=DH14,2,0)+IF(OR(AND($DG$3&gt;$DH$3,DG14 &gt; DH14),AND($DG$3 &lt; $DH$3,DG14&lt;DH14),AND($DG$3 = $DH$3,DG14 = DH14)),5,0))</f>
        <v/>
      </c>
      <c r="DH15" s="157"/>
      <c r="DI15" s="157" t="str">
        <f>IF($DI$3="","",IF($DI$3=DI14,2,0)+IF($DJ$3=DJ14,2,0)+IF(OR(AND($DI$3&gt;$DJ$3,DI14 &gt; DJ14),AND($DI$3 &lt; $DJ$3,DI14&lt;DJ14),AND($DI$3 = $DJ$3,DI14 = DJ14)),5,0))</f>
        <v/>
      </c>
      <c r="DJ15" s="157"/>
      <c r="DK15" s="157" t="str">
        <f>IF($DK$3="","",IF($DK$3=DK14,2,0)+IF($DL$3=DL14,2,0)+IF(OR(AND($DK$3&gt;$DL$3,DK14 &gt; DL14),AND($DK$3 &lt; $DL$3,DK14&lt;DL14),AND($DK$3 = $DL$3,DK14 = DL14)),5,0))</f>
        <v/>
      </c>
      <c r="DL15" s="154"/>
      <c r="DM15" s="24">
        <f>SUM(CW15:DL15)</f>
        <v>0</v>
      </c>
      <c r="DN15" s="12">
        <f>IF(AND(DP13=$DP$2,DP13&lt;&gt;""),2,0)+IF(AND(DQ13=$DQ$2,DQ13&lt;&gt;""),2,0)+IF(AND(DR13=$DR$2,DR13&lt;&gt;""),2,0)+IF(AND(DS13=$DS$2,DS13&lt;&gt;""),2,0)+IF(AND(DT13=$DT$2,DT13&lt;&gt;""),2,0)+IF(AND(DU13=$DU$2,DU13&lt;&gt;""),2,0)+IF(AND(DV13=$DV$2,DV13&lt;&gt;""),2,0)+IF(AND(DW13=$DW$2,DW13&lt;&gt;""),2,0)</f>
        <v>0</v>
      </c>
      <c r="DO15" s="11">
        <f>CV15+DM15+DN15</f>
        <v>7</v>
      </c>
      <c r="DP15" s="159" t="str">
        <f>IF($DP$3="","",IF($DP$3=DP14,2,0)+IF($DQ$3=DQ14,2,0)+IF(OR(AND($DP$3&gt;$DQ$3,DP14 &gt; DQ14),AND($DP$3 &lt; $DQ$3,DP14&lt;DQ14),AND($DP$3 = $DQ$3,DP14 = DQ14)),5,0))</f>
        <v/>
      </c>
      <c r="DQ15" s="160"/>
      <c r="DR15" s="154" t="str">
        <f>IF($DR$3="","",IF($DR$3=DR14,2,0)+IF($DS$3=DS14,2,0)+IF(OR(AND($DR$3&gt;$DS$3,DR14 &gt; DS14),AND($DR$3 &lt; $DS$3,DR14&lt;DS14),AND($DR$3 = $DS$3,DR14 = DS14)),5,0))</f>
        <v/>
      </c>
      <c r="DS15" s="160"/>
      <c r="DT15" s="154" t="str">
        <f>IF($DT$3="","",IF($DT$3=DT14,2,0)+IF($DU$3=DU14,2,0)+IF(OR(AND($DT$3&gt;$DU$3,DT14 &gt; DU14),AND($DT$3 &lt; $DU$3,DT14&lt;DU14),AND($DT$3 = $DU$3,DT14 = DU14)),5,0))</f>
        <v/>
      </c>
      <c r="DU15" s="160"/>
      <c r="DV15" s="154" t="str">
        <f>IF($DV$3="","",IF($DV12=DV14,2,0)+IF($DW$3=DW14,2,0)+IF(OR(AND($DV$3&gt;$DW$3,DV14 &gt; DW14),AND($DV$3 &lt; $DW$3,DV14&lt;DW14),AND($DV$3 = $DW$3,DV14 = DW14)),5,0))</f>
        <v/>
      </c>
      <c r="DW15" s="155"/>
      <c r="DX15" s="24">
        <f>SUM(DP15:DW15)</f>
        <v>0</v>
      </c>
      <c r="DY15" s="12">
        <f>IF(AND(EA13=$EA$2,EA13&lt;&gt;""),3,0)+IF(AND(EB13=$EB$2,EB13&lt;&gt;""),3,0)+IF(AND(EC13=$EC$2,EC13&lt;&gt;""),3,0)+IF(AND(ED13=$ED$2,ED13&lt;&gt;""),3,0)</f>
        <v>0</v>
      </c>
      <c r="DZ15" s="11">
        <f>DO15+DX15+DY15</f>
        <v>7</v>
      </c>
      <c r="EA15" s="156" t="str">
        <f>IF($EA$3="","",IF($EA$3=EA14,2,0)+IF($EB$3=EB14,2,0)+IF(OR(AND($EA$3&gt;$EB$3,EA14 &gt; EB14),AND($EA$3 &lt; $EB$3,EA14&lt;EB14),AND($EA$3 = $EB$3,EA14 = EB14)),5,0))</f>
        <v/>
      </c>
      <c r="EB15" s="157"/>
      <c r="EC15" s="157" t="str">
        <f>IF($EC$3="","",IF($EC$3=EC14,2,0)+IF($ED$3=ED14,2,0)+IF(OR(AND($EC$3&gt;$ED$3,EC14 &gt; ED14),AND($EC$3 &lt; $ED$3,EC14&lt;ED14),AND($EC$3 = $ED$3,EC14 = ED14)),5,0))</f>
        <v/>
      </c>
      <c r="ED15" s="154"/>
      <c r="EE15" s="24">
        <f>SUM(EA15:ED15)</f>
        <v>0</v>
      </c>
      <c r="EF15" s="12">
        <f>IF(AND(EH13=$EH$2,EH13&lt;&gt;""),3,0)+IF(AND(EI13=$EI$2,EI13&lt;&gt;""),3,0)</f>
        <v>0</v>
      </c>
      <c r="EG15" s="11">
        <f>DZ15+EE15+EF15</f>
        <v>7</v>
      </c>
      <c r="EH15" s="156" t="str">
        <f>IF($EH$3="","",IF($EH$3=EH14,2,0)+IF($EI$3=EI14,2,0)+IF(OR(AND($EH$3&gt;$EI$3,EH14 &gt; EI14),AND($EH$3 &lt; $EI$3,EH14&lt;EI14),AND($EH$3 = $EI$3,EH14 = EI14)),5,0))</f>
        <v/>
      </c>
      <c r="EI15" s="154"/>
      <c r="EJ15" s="24">
        <f>SUM(EH15:EI15)</f>
        <v>0</v>
      </c>
      <c r="EK15" s="12">
        <f>IF(AND(EM13=$EM$2,EM13&lt;&gt;""),5,0)+IF(AND(EN13=$EN$2,EN13&lt;&gt;""),5,0)</f>
        <v>0</v>
      </c>
      <c r="EL15" s="11">
        <f>EG15+EJ15+EK15</f>
        <v>7</v>
      </c>
      <c r="EM15" s="156" t="str">
        <f>IF($EM$3="","",IF($EM$3=EM14,2,0)+IF($EN$3=EN14,2,0)+IF(OR(AND($EM$3&gt;$EN$3,EM14 &gt; EN14),AND($EM$3 &lt; $EN$3,EM14&lt;EN14),AND($EM$3 = $EN$3,EM14 = EN14)),5,0))</f>
        <v/>
      </c>
      <c r="EN15" s="158"/>
      <c r="EO15" s="152"/>
      <c r="EP15" s="8" t="str">
        <f>EM15</f>
        <v/>
      </c>
      <c r="EQ15" s="20">
        <f>IF(AND(EO13=$EO$2,EO13&lt;&gt;""),10,0)</f>
        <v>0</v>
      </c>
      <c r="ER15" s="11" t="e">
        <f>EL15+EP15+EQ15</f>
        <v>#VALUE!</v>
      </c>
    </row>
    <row r="16" spans="1:148" s="145" customFormat="1" ht="24" thickBot="1" x14ac:dyDescent="0.35">
      <c r="A16" s="2"/>
      <c r="B16" s="43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6"/>
      <c r="AH16" s="43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6"/>
      <c r="BN16" s="43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17"/>
      <c r="CU16" s="18"/>
      <c r="CV16" s="19"/>
      <c r="CW16" s="78" t="s">
        <v>10</v>
      </c>
      <c r="CX16" s="77" t="s">
        <v>13</v>
      </c>
      <c r="CY16" s="76" t="s">
        <v>15</v>
      </c>
      <c r="CZ16" s="77" t="s">
        <v>21</v>
      </c>
      <c r="DA16" s="76" t="s">
        <v>19</v>
      </c>
      <c r="DB16" s="77" t="s">
        <v>18</v>
      </c>
      <c r="DC16" s="76" t="s">
        <v>12</v>
      </c>
      <c r="DD16" s="77" t="s">
        <v>9</v>
      </c>
      <c r="DE16" s="76" t="s">
        <v>23</v>
      </c>
      <c r="DF16" s="77" t="s">
        <v>28</v>
      </c>
      <c r="DG16" s="76" t="s">
        <v>31</v>
      </c>
      <c r="DH16" s="77" t="s">
        <v>35</v>
      </c>
      <c r="DI16" s="76" t="s">
        <v>27</v>
      </c>
      <c r="DJ16" s="77" t="s">
        <v>24</v>
      </c>
      <c r="DK16" s="76" t="s">
        <v>37</v>
      </c>
      <c r="DL16" s="77" t="s">
        <v>34</v>
      </c>
      <c r="DM16" s="14"/>
      <c r="DN16" s="15"/>
      <c r="DO16" s="16"/>
      <c r="DP16" s="79" t="s">
        <v>23</v>
      </c>
      <c r="DQ16" s="80" t="s">
        <v>31</v>
      </c>
      <c r="DR16" s="79" t="s">
        <v>13</v>
      </c>
      <c r="DS16" s="80" t="s">
        <v>15</v>
      </c>
      <c r="DT16" s="81" t="s">
        <v>12</v>
      </c>
      <c r="DU16" s="80" t="s">
        <v>19</v>
      </c>
      <c r="DV16" s="79" t="s">
        <v>27</v>
      </c>
      <c r="DW16" s="80" t="s">
        <v>37</v>
      </c>
      <c r="DX16" s="7"/>
      <c r="DY16" s="9"/>
      <c r="DZ16" s="10"/>
      <c r="EA16" s="82" t="s">
        <v>15</v>
      </c>
      <c r="EB16" s="83" t="s">
        <v>23</v>
      </c>
      <c r="EC16" s="84" t="s">
        <v>19</v>
      </c>
      <c r="ED16" s="83" t="s">
        <v>27</v>
      </c>
      <c r="EE16" s="7"/>
      <c r="EF16" s="9"/>
      <c r="EG16" s="10"/>
      <c r="EH16" s="85" t="s">
        <v>15</v>
      </c>
      <c r="EI16" s="86" t="s">
        <v>19</v>
      </c>
      <c r="EJ16" s="7"/>
      <c r="EK16" s="9"/>
      <c r="EL16" s="10"/>
      <c r="EM16" s="87" t="s">
        <v>23</v>
      </c>
      <c r="EN16" s="88" t="s">
        <v>27</v>
      </c>
      <c r="EO16" s="89" t="s">
        <v>44</v>
      </c>
      <c r="EP16" s="7"/>
      <c r="EQ16" s="9"/>
      <c r="ER16" s="10"/>
    </row>
    <row r="17" spans="1:148" s="151" customFormat="1" ht="16.5" thickBot="1" x14ac:dyDescent="0.35">
      <c r="A17" s="146" t="s">
        <v>51</v>
      </c>
      <c r="B17" s="92">
        <v>1</v>
      </c>
      <c r="C17" s="93">
        <v>2</v>
      </c>
      <c r="D17" s="94">
        <v>0</v>
      </c>
      <c r="E17" s="93">
        <v>2</v>
      </c>
      <c r="F17" s="94">
        <v>0</v>
      </c>
      <c r="G17" s="93">
        <v>3</v>
      </c>
      <c r="H17" s="94">
        <v>2</v>
      </c>
      <c r="I17" s="93">
        <v>1</v>
      </c>
      <c r="J17" s="94">
        <v>2</v>
      </c>
      <c r="K17" s="93">
        <v>0</v>
      </c>
      <c r="L17" s="94">
        <v>1</v>
      </c>
      <c r="M17" s="93">
        <v>1</v>
      </c>
      <c r="N17" s="94">
        <v>3</v>
      </c>
      <c r="O17" s="93">
        <v>0</v>
      </c>
      <c r="P17" s="94">
        <v>2</v>
      </c>
      <c r="Q17" s="93">
        <v>1</v>
      </c>
      <c r="R17" s="94">
        <v>2</v>
      </c>
      <c r="S17" s="93">
        <v>0</v>
      </c>
      <c r="T17" s="94">
        <v>1</v>
      </c>
      <c r="U17" s="93">
        <v>0</v>
      </c>
      <c r="V17" s="94">
        <v>2</v>
      </c>
      <c r="W17" s="93">
        <v>0</v>
      </c>
      <c r="X17" s="94">
        <v>2</v>
      </c>
      <c r="Y17" s="93">
        <v>0</v>
      </c>
      <c r="Z17" s="94">
        <v>4</v>
      </c>
      <c r="AA17" s="93">
        <v>0</v>
      </c>
      <c r="AB17" s="94">
        <v>1</v>
      </c>
      <c r="AC17" s="93">
        <v>2</v>
      </c>
      <c r="AD17" s="94">
        <v>2</v>
      </c>
      <c r="AE17" s="93">
        <v>0</v>
      </c>
      <c r="AF17" s="94">
        <v>3</v>
      </c>
      <c r="AG17" s="95">
        <v>0</v>
      </c>
      <c r="AH17" s="92">
        <v>0</v>
      </c>
      <c r="AI17" s="93">
        <v>1</v>
      </c>
      <c r="AJ17" s="94">
        <v>3</v>
      </c>
      <c r="AK17" s="93">
        <v>0</v>
      </c>
      <c r="AL17" s="94">
        <v>1</v>
      </c>
      <c r="AM17" s="93">
        <v>2</v>
      </c>
      <c r="AN17" s="94">
        <v>0</v>
      </c>
      <c r="AO17" s="93">
        <v>4</v>
      </c>
      <c r="AP17" s="94">
        <v>3</v>
      </c>
      <c r="AQ17" s="93">
        <v>1</v>
      </c>
      <c r="AR17" s="94">
        <v>2</v>
      </c>
      <c r="AS17" s="93">
        <v>0</v>
      </c>
      <c r="AT17" s="94">
        <v>1</v>
      </c>
      <c r="AU17" s="93">
        <v>1</v>
      </c>
      <c r="AV17" s="94">
        <v>2</v>
      </c>
      <c r="AW17" s="93">
        <v>0</v>
      </c>
      <c r="AX17" s="94">
        <v>3</v>
      </c>
      <c r="AY17" s="93">
        <v>0</v>
      </c>
      <c r="AZ17" s="94">
        <v>0</v>
      </c>
      <c r="BA17" s="93">
        <v>2</v>
      </c>
      <c r="BB17" s="94">
        <v>2</v>
      </c>
      <c r="BC17" s="93">
        <v>0</v>
      </c>
      <c r="BD17" s="94">
        <v>1</v>
      </c>
      <c r="BE17" s="93">
        <v>3</v>
      </c>
      <c r="BF17" s="94">
        <v>3</v>
      </c>
      <c r="BG17" s="93">
        <v>1</v>
      </c>
      <c r="BH17" s="94">
        <v>2</v>
      </c>
      <c r="BI17" s="93">
        <v>0</v>
      </c>
      <c r="BJ17" s="94">
        <v>1</v>
      </c>
      <c r="BK17" s="93">
        <v>2</v>
      </c>
      <c r="BL17" s="94">
        <v>0</v>
      </c>
      <c r="BM17" s="95">
        <v>2</v>
      </c>
      <c r="BN17" s="97">
        <v>2</v>
      </c>
      <c r="BO17" s="98">
        <v>3</v>
      </c>
      <c r="BP17" s="99">
        <v>2</v>
      </c>
      <c r="BQ17" s="98">
        <v>0</v>
      </c>
      <c r="BR17" s="99">
        <v>2</v>
      </c>
      <c r="BS17" s="98">
        <v>0</v>
      </c>
      <c r="BT17" s="99">
        <v>1</v>
      </c>
      <c r="BU17" s="98">
        <v>3</v>
      </c>
      <c r="BV17" s="99">
        <v>0</v>
      </c>
      <c r="BW17" s="98">
        <v>1</v>
      </c>
      <c r="BX17" s="99">
        <v>1</v>
      </c>
      <c r="BY17" s="98">
        <v>1</v>
      </c>
      <c r="BZ17" s="99">
        <v>0</v>
      </c>
      <c r="CA17" s="98">
        <v>2</v>
      </c>
      <c r="CB17" s="99">
        <v>0</v>
      </c>
      <c r="CC17" s="98">
        <v>2</v>
      </c>
      <c r="CD17" s="99">
        <v>1</v>
      </c>
      <c r="CE17" s="98">
        <v>0</v>
      </c>
      <c r="CF17" s="99">
        <v>0</v>
      </c>
      <c r="CG17" s="98">
        <v>4</v>
      </c>
      <c r="CH17" s="99">
        <v>2</v>
      </c>
      <c r="CI17" s="98">
        <v>1</v>
      </c>
      <c r="CJ17" s="99">
        <v>0</v>
      </c>
      <c r="CK17" s="98">
        <v>4</v>
      </c>
      <c r="CL17" s="99">
        <v>0</v>
      </c>
      <c r="CM17" s="98">
        <v>2</v>
      </c>
      <c r="CN17" s="99">
        <v>0</v>
      </c>
      <c r="CO17" s="98">
        <v>3</v>
      </c>
      <c r="CP17" s="99">
        <v>0</v>
      </c>
      <c r="CQ17" s="98">
        <v>2</v>
      </c>
      <c r="CR17" s="99">
        <v>0</v>
      </c>
      <c r="CS17" s="100">
        <v>4</v>
      </c>
      <c r="CT17" s="21"/>
      <c r="CU17" s="22"/>
      <c r="CV17" s="23"/>
      <c r="CW17" s="96">
        <v>0</v>
      </c>
      <c r="CX17" s="91">
        <v>2</v>
      </c>
      <c r="CY17" s="90">
        <v>3</v>
      </c>
      <c r="CZ17" s="91">
        <v>2</v>
      </c>
      <c r="DA17" s="90">
        <v>2</v>
      </c>
      <c r="DB17" s="91">
        <v>0</v>
      </c>
      <c r="DC17" s="90">
        <v>3</v>
      </c>
      <c r="DD17" s="91">
        <v>0</v>
      </c>
      <c r="DE17" s="90">
        <v>5</v>
      </c>
      <c r="DF17" s="91">
        <v>3</v>
      </c>
      <c r="DG17" s="90">
        <v>3</v>
      </c>
      <c r="DH17" s="91">
        <v>2</v>
      </c>
      <c r="DI17" s="90">
        <v>2</v>
      </c>
      <c r="DJ17" s="91">
        <v>0</v>
      </c>
      <c r="DK17" s="90">
        <v>3</v>
      </c>
      <c r="DL17" s="91">
        <v>1</v>
      </c>
      <c r="DM17" s="48"/>
      <c r="DN17" s="29"/>
      <c r="DO17" s="30"/>
      <c r="DP17" s="90">
        <v>2</v>
      </c>
      <c r="DQ17" s="91">
        <v>1</v>
      </c>
      <c r="DR17" s="90">
        <v>1</v>
      </c>
      <c r="DS17" s="91">
        <v>3</v>
      </c>
      <c r="DT17" s="90">
        <v>1</v>
      </c>
      <c r="DU17" s="91">
        <v>2</v>
      </c>
      <c r="DV17" s="90">
        <v>1</v>
      </c>
      <c r="DW17" s="91">
        <v>0</v>
      </c>
      <c r="DX17" s="27"/>
      <c r="DY17" s="25"/>
      <c r="DZ17" s="26"/>
      <c r="EA17" s="90">
        <v>0</v>
      </c>
      <c r="EB17" s="91">
        <v>2</v>
      </c>
      <c r="EC17" s="90">
        <v>0</v>
      </c>
      <c r="ED17" s="91">
        <v>1</v>
      </c>
      <c r="EE17" s="21"/>
      <c r="EF17" s="22"/>
      <c r="EG17" s="23"/>
      <c r="EH17" s="90">
        <v>6</v>
      </c>
      <c r="EI17" s="91">
        <v>7</v>
      </c>
      <c r="EJ17" s="21"/>
      <c r="EK17" s="22"/>
      <c r="EL17" s="23"/>
      <c r="EM17" s="90">
        <v>2</v>
      </c>
      <c r="EN17" s="91">
        <v>0</v>
      </c>
      <c r="EO17" s="153"/>
      <c r="EP17" s="21"/>
      <c r="EQ17" s="22"/>
      <c r="ER17" s="23"/>
    </row>
    <row r="18" spans="1:148" s="151" customFormat="1" ht="16.5" thickBot="1" x14ac:dyDescent="0.35">
      <c r="A18" s="42"/>
      <c r="B18" s="165">
        <f>IF($B$3="","",IF($B$3=B17,2,0)+IF($C$3=C17,2,0)+IF(OR(AND($B$3&gt;$C$3,B17 &gt; C17),AND($B$3 &lt; $C$3,B17&lt;C17),AND($B$3 = $C$3,B17 = C17)),5,0))</f>
        <v>0</v>
      </c>
      <c r="C18" s="164"/>
      <c r="D18" s="162">
        <f>IF($D$3="","",IF($D$3=D17,2,0)+IF($E$3=E17,2,0)+IF(OR(AND($D$3&gt;$E$3,D17 &gt; E17),AND($D$3 &lt; $E$3,D17&lt;E17),AND($D$3 = $E$3,D17 = E17)),5,0))</f>
        <v>7</v>
      </c>
      <c r="E18" s="164"/>
      <c r="F18" s="162" t="str">
        <f>IF($F$3="","",IF($F$3=F17,2,0)+IF($G$3=G17,2,0)+IF(OR(AND($F$3&gt;$G$3,F17 &gt; G17),AND($F$3 &lt; $G$3,F17&lt;G17),AND($F$3 = $G$3,F17 = G17)),5,0))</f>
        <v/>
      </c>
      <c r="G18" s="164"/>
      <c r="H18" s="162" t="str">
        <f>IF($H$3="","",IF($H$3=H17,2,0)+IF($I$3=I17,2,0)+IF(OR(AND($H$3&gt;$I$3,H17 &gt; I17),AND($H$3 &lt; $I$3,H17&lt;I17),AND($H$3 = $I$3,H17 = I17)),5,0))</f>
        <v/>
      </c>
      <c r="I18" s="164"/>
      <c r="J18" s="162" t="str">
        <f>IF($J$3="","",IF($J$3=J17,2,0)+IF($K$3=K17,2,0)+IF(OR(AND($J$3&gt;$K$3,J17 &gt; K17),AND($J$3 &lt; $K$3,J17&lt;K17),AND($J$3 = $K$3,J17 = K17)),5,0))</f>
        <v/>
      </c>
      <c r="K18" s="164"/>
      <c r="L18" s="162" t="str">
        <f>IF($L$3="","",IF($L$3=L17,2,0)+IF($M$3=M17,2,0)+IF(OR(AND($L$3&gt;$M$3,L17 &gt; M17),AND($L$3 &lt; $M$3,L17&lt;M17),AND($L$3 = $M$3,L17 = M17)),5,0))</f>
        <v/>
      </c>
      <c r="M18" s="164"/>
      <c r="N18" s="162" t="str">
        <f>IF($N$3="","",IF($N$3=N17,2,0)+IF($O$3=O17,2,0)+IF(OR(AND($N$3&gt;$O$3,N17 &gt; O17),AND($N$3 &lt; $O$3,N17&lt;O17),AND($N$3 = $O$3,N17 = O17)),5,0))</f>
        <v/>
      </c>
      <c r="O18" s="164"/>
      <c r="P18" s="162" t="str">
        <f>IF($P$3="","",IF($P$3=P17,2,0)+IF($Q$3=Q17,2,0)+IF(OR(AND($P$3&gt;$Q$3,P17 &gt; Q17),AND($P$3 &lt; $Q$3,P17&lt;Q17),AND($P$3 = $Q$3,P17 = Q17)),5,0))</f>
        <v/>
      </c>
      <c r="Q18" s="164"/>
      <c r="R18" s="162" t="str">
        <f>IF($R$3="","",IF($R$3=R17,2,0)+IF($S$3=S17,2,0)+IF(OR(AND($R$3&gt;$S$3,R17 &gt; S17),AND($R$3 &lt; $S$3,R17&lt;S17),AND($R$3 = $S$3,R17 = S17)),5,0))</f>
        <v/>
      </c>
      <c r="S18" s="164"/>
      <c r="T18" s="162" t="str">
        <f>IF($T$3="","",IF($T$3=T17,2,0)+IF($U$3=U17,2,0)+IF(OR(AND($T$3&gt;$U$3,T17 &gt; U17),AND($T$3 &lt; $U$3,T17&lt;U17),AND($T$3 = $U$3,T17 = U17)),5,0))</f>
        <v/>
      </c>
      <c r="U18" s="164"/>
      <c r="V18" s="162" t="str">
        <f>IF($V$3="","",IF($V$3=V17,2,0)+IF($W$3=W17,2,0)+IF(OR(AND($V$3&gt;$W$3,V17 &gt; W17),AND($V$3 &lt; $W$3,V17&lt;W17),AND($V$3 = $W$3,V17 = W17)),5,0))</f>
        <v/>
      </c>
      <c r="W18" s="164"/>
      <c r="X18" s="162" t="str">
        <f>IF($X$3="","",IF($X$3=X17,2,0)+IF($Y$3=Y17,2,0)+IF(OR(AND($X$3&gt;$Y$3,X17 &gt; Y17),AND($X$3 &lt; $Y$3,X17&lt;Y17),AND($X$3 = $Y$3,X17 = Y17)),5,0))</f>
        <v/>
      </c>
      <c r="Y18" s="164"/>
      <c r="Z18" s="162" t="str">
        <f>IF($Z$3="","",IF($Z$3=Z17,2,0)+IF($AA$3=AA17,2,0)+IF(OR(AND($Z$3&gt;$AA$3,Z17 &gt; AA17),AND($Z$3 &lt; $AA$3,Z17&lt;AA17),AND($Z$3 = $AA$3,Z17 = AA17)),5,0))</f>
        <v/>
      </c>
      <c r="AA18" s="164"/>
      <c r="AB18" s="162" t="str">
        <f>IF($AB$3="","",IF($AB$3=AB17,2,0)+IF($AC$3=AC17,2,0)+IF(OR(AND($AB$3&gt;$AC$3,AB17 &gt; AC17),AND($AB$3 &lt; $AC$3,AB17&lt;AC17),AND($AB$3 = $AC$3,AB17 = AC17)),5,0))</f>
        <v/>
      </c>
      <c r="AC18" s="164"/>
      <c r="AD18" s="162" t="str">
        <f>IF($AD$3="","",IF($AD$3=AD17,2,0)+IF($AE$3=AE17,2,0)+IF(OR(AND($AD$3&gt;$AE$3,AD17 &gt; AE17),AND($AD$3 &lt; $AE$3,AD17&lt;AE17),AND($AD$3 = $AE$3,AD17 = AE17)),5,0))</f>
        <v/>
      </c>
      <c r="AE18" s="164"/>
      <c r="AF18" s="162" t="str">
        <f>IF($AF$3="","",IF($AF$3=AF17,2,0)+IF($AG$3=AG17,2,0)+IF(OR(AND($AF$3&gt;$AG$3,AF17 &gt; AG17),AND($AF$3 &lt; $AG$3,AF17&lt;AG17),AND($AF$3 = $AG$3,AF17 = AG17)),5,0))</f>
        <v/>
      </c>
      <c r="AG18" s="163"/>
      <c r="AH18" s="165" t="str">
        <f>IF($AH$3="","",IF($AH$3=AH17,2,0)+IF($AI$3=AI17,2,0)+IF(OR(AND($AH$3&gt;$AI$3,AH17 &gt; AI17),AND($AH$3 &lt; $AI$3,AH17&lt;AI17),AND($AH$3 = $AI$3,AH17 = AI17)),5,0))</f>
        <v/>
      </c>
      <c r="AI18" s="164"/>
      <c r="AJ18" s="162" t="str">
        <f>IF($AJ$3="","",IF($AJ$3=AJ17,2,0)+IF($AK$3=AK17,2,0)+IF(OR(AND($AJ$3&gt;$AK$3,AJ17 &gt; AK17),AND($AJ$3 &lt; $AK$3,AJ17&lt;AK17),AND($AJ$3 = $AK$3,AJ17 = AK17)),5,0))</f>
        <v/>
      </c>
      <c r="AK18" s="164"/>
      <c r="AL18" s="162" t="str">
        <f>IF($AL$3="","",IF($AL$3=AL17,2,0)+IF($AM$3=AM17,2,0)+IF(OR(AND($AL$3&gt;$AM$3,AL17 &gt; AM17),AND($AL$3 &lt; $AM$3,AL17&lt;AM17),AND($AL$3 = $AM$3,AL17 = AM17)),5,0))</f>
        <v/>
      </c>
      <c r="AM18" s="164"/>
      <c r="AN18" s="162" t="str">
        <f>IF($AN$3="","",IF($AN$3=AN17,2,0)+IF($AO$3=AO17,2,0)+IF(OR(AND($AN$3&gt;$AO$3,AN17 &gt; AO17),AND($AN$3 &lt; $AO$3,AN17&lt;AO17),AND($AN$3 = $AO$3,AN17 = AO17)),5,0))</f>
        <v/>
      </c>
      <c r="AO18" s="164"/>
      <c r="AP18" s="162" t="str">
        <f>IF($AP$3="","",IF($AP$3=AP17,2,0)+IF($AQ$3=AQ17,2,0)+IF(OR(AND($AP$3&gt;$AQ$3,AP17 &gt; AQ17),AND($AP$3 &lt; $AQ$3,AP17&lt;AQ17),AND($AP$3 = $AQ$3,AP17 = AQ17)),5,0))</f>
        <v/>
      </c>
      <c r="AQ18" s="164"/>
      <c r="AR18" s="162" t="str">
        <f>IF($AR$3="","",IF($AR$3=AR17,2,0)+IF($AS$3=AS17,2,0)+IF(OR(AND($AR$3&gt;$AS$3,AR17 &gt; AS17),AND($AR$3 &lt; $AS$3,AR17&lt;AS17),AND($AR$3 = $AS$3,AR17 = AS17)),5,0))</f>
        <v/>
      </c>
      <c r="AS18" s="164"/>
      <c r="AT18" s="162" t="str">
        <f>IF($AT$3="","",IF($AT$3=AT17,2,0)+IF($AU$3=AU17,2,0)+IF(OR(AND($AT$3&gt;$AU$3,AT17 &gt; AU17),AND($AT$3 &lt; $AU$3,AT17&lt;AU17),AND($AT$3 = $AU$3,AT17 = AU17)),5,0))</f>
        <v/>
      </c>
      <c r="AU18" s="164"/>
      <c r="AV18" s="162" t="str">
        <f>IF($AV$3="","",IF($AV$3=AV17,2,0)+IF($AW$3=AW17,2,0)+IF(OR(AND($AV$3&gt;$AW$3,AV17 &gt; AW17),AND($AV$3 &lt; $AW$3,AV17&lt;AW17),AND($AV$3 = $AW$3,AV17 = AW17)),5,0))</f>
        <v/>
      </c>
      <c r="AW18" s="164"/>
      <c r="AX18" s="162" t="str">
        <f>IF($AX$3="","",IF($AX$3=AX17,2,0)+IF($AY$3=AY17,2,0)+IF(OR(AND($AX$3&gt;$AY$3,AX17 &gt; AY17),AND($AX$3 &lt; $AY$3,AX17&lt;AY17),AND($AX$3 = $AY$3,AX17 = AY17)),5,0))</f>
        <v/>
      </c>
      <c r="AY18" s="164"/>
      <c r="AZ18" s="162" t="str">
        <f>IF($AZ$3="","",IF($AZ$3=AZ17,2,0)+IF($BA$3=BA17,2,0)+IF(OR(AND($AZ$3&gt;$BA$3,AZ17 &gt; BA17),AND($AZ$3 &lt; $BA$3,AZ17&lt;BA17),AND($AZ$3 = $BA$3,AZ17 = BA17)),5,0))</f>
        <v/>
      </c>
      <c r="BA18" s="164"/>
      <c r="BB18" s="162" t="str">
        <f>IF($BB$3="","",IF($BB$3=BB17,2,0)+IF($BC$3=BC17,2,0)+IF(OR(AND($BB$3&gt;$BC$3,BB17 &gt; BC17),AND($BB$3 &lt; $BC$3,BB17&lt;BC17),AND($BB$3 = $BC$3,BB17 = BC17)),5,0))</f>
        <v/>
      </c>
      <c r="BC18" s="164"/>
      <c r="BD18" s="162" t="str">
        <f>IF($BD$3="","",IF($BD$3=BD17,2,0)+IF($BE$3=BE17,2,0)+IF(OR(AND($BD$3&gt;$BE$3,BD17 &gt; BE17),AND($BD$3 &lt; $BE$3,BD17&lt;BE17),AND($BD$3 = $BE$3,BD17 = BE17)),5,0))</f>
        <v/>
      </c>
      <c r="BE18" s="164"/>
      <c r="BF18" s="162" t="str">
        <f>IF($BF$3="","",IF($BF$3=BF17,2,0)+IF($BG$3=BG17,2,0)+IF(OR(AND($BF$3&gt;$BG$3,BF17 &gt; BG17),AND($BF$3 &lt; $BG$3,BF17&lt;BG17),AND($BF$3 = $BG$3,BF17 = BG17)),5,0))</f>
        <v/>
      </c>
      <c r="BG18" s="164"/>
      <c r="BH18" s="162" t="str">
        <f>IF($BH$3="","",IF($BH$3=BH17,2,0)+IF($BI$3=BI17,2,0)+IF(OR(AND($BH$3&gt;$BI$3,BH17 &gt; BI17),AND($BH$3 &lt; $BI$3,BH17&lt;BI17),AND($BH$3 = $BI$3,BH17 = BI17)),5,0))</f>
        <v/>
      </c>
      <c r="BI18" s="164"/>
      <c r="BJ18" s="162" t="str">
        <f>IF($BJ$3="","",IF($BJ$3=BJ17,2,0)+IF($BK$3=BK17,2,0)+IF(OR(AND($BJ$3&gt;$BK$3,BJ17 &gt; BK17),AND($BJ$3 &lt; $BK$3,BJ17&lt;BK17),AND($BJ$3 = $BK$3,BJ17 = BK17)),5,0))</f>
        <v/>
      </c>
      <c r="BK18" s="164"/>
      <c r="BL18" s="162" t="str">
        <f>IF($BL$3="","",IF($BL$3=BL17,2,0)+IF($BM$3=BM17,2,0)+IF(OR(AND($BL$3&gt;$BM$3,BL17 &gt; BM17),AND($BL$3 &lt; $BM$3,BL17&lt;BM17),AND($BL$3 = $BM$3,BL17 = BM17)),5,0))</f>
        <v/>
      </c>
      <c r="BM18" s="163"/>
      <c r="BN18" s="165" t="str">
        <f>IF($BN$3="","",IF($BN$3=BN17,2,0)+IF($BO$3=BO17,2,0)+IF(OR(AND($BN$3&gt;$BO$3,BN17 &gt; BO17),AND($BN$3 &lt; $BO$3,BN17&lt;BO17),AND($BN$3 = $BO$3,BN17 = BO17)),5,0))</f>
        <v/>
      </c>
      <c r="BO18" s="164"/>
      <c r="BP18" s="162" t="str">
        <f>IF($BP$3="","",IF($BP$3=BP17,2,0)+IF($BQ$3=BQ17,2,0)+IF(OR(AND($BP$3&gt;$BQ$3,BP17 &gt; BQ17),AND($BP$3 &lt; $BQ$3,BP17&lt;BQ17),AND($BP$3 = $BQ$3,BP17 = BQ17)),5,0))</f>
        <v/>
      </c>
      <c r="BQ18" s="164"/>
      <c r="BR18" s="162" t="str">
        <f>IF($BR$3="","",IF($BR$3=BR17,2,0)+IF($BS$3=BS17,2,0)+IF(OR(AND($BR$3&gt;$BS$3,BR17 &gt; BS17),AND($BR$3 &lt; $BS$3,BR17&lt;BS17),AND($BR$3 = $BS$3,BR17 = BS17)),5,0))</f>
        <v/>
      </c>
      <c r="BS18" s="164"/>
      <c r="BT18" s="162" t="str">
        <f>IF($BT$3="","",IF($BT$3=BT17,2,0)+IF($BU$3=BU17,2,0)+IF(OR(AND($BT$3&gt;$BU$3,BT17 &gt; BU17),AND($BT$3 &lt; $BU$3,BT17&lt;BU17),AND($BT$3 = $BU$3,BT17 = BU17)),5,0))</f>
        <v/>
      </c>
      <c r="BU18" s="164"/>
      <c r="BV18" s="162" t="str">
        <f>IF($BV$3="","",IF($BV$3=BV17,2,0)+IF($BW$3=BW17,2,0)+IF(OR(AND($BV$3&gt;$BW$3,BV17 &gt; BW17),AND($BV$3 &lt; $BW$3,BV17&lt;BW17),AND($BV$3 = $BW$3,BV17 = BW17)),5,0))</f>
        <v/>
      </c>
      <c r="BW18" s="164"/>
      <c r="BX18" s="162" t="str">
        <f>IF($BX$3="","",IF($BX$3=BX17,2,0)+IF($BY$3=BY17,2,0)+IF(OR(AND($BX$3&gt;$BY$3,BX17 &gt; BY17),AND($BX$3 &lt; $BY$3,BX17&lt;BY17),AND($BX$3 = $BY$3,BX17 = BY17)),5,0))</f>
        <v/>
      </c>
      <c r="BY18" s="164"/>
      <c r="BZ18" s="162" t="str">
        <f>IF($BZ$3="","",IF($BZ$3=BZ17,2,0)+IF($CA$3=CA17,2,0)+IF(OR(AND($BZ$3&gt;$CA$3,BZ17 &gt; CA17),AND($BZ$3 &lt; $CA$3,BZ17&lt;CA17),AND($BZ$3 = $CA$3,BZ17 = CA17)),5,0))</f>
        <v/>
      </c>
      <c r="CA18" s="164"/>
      <c r="CB18" s="162" t="str">
        <f>IF($CB$3="","",IF($CB$3=CB17,2,0)+IF($CC$3=CC17,2,0)+IF(OR(AND($CB$3&gt;$CC$3,CB17 &gt; CC17),AND($CB$3 &lt; $CC$3,CB17&lt;CC17),AND($CB$3 = $CC$3,CB17 = CC17)),5,0))</f>
        <v/>
      </c>
      <c r="CC18" s="164"/>
      <c r="CD18" s="162" t="str">
        <f>IF($CD$3="","",IF($CD$3=CD17,2,0)+IF($CE$3=CE17,2,0)+IF(OR(AND($CD$3&gt;$CE$3,CD17 &gt; CE17),AND($CD$3 &lt; $CE$3,CD17&lt;$CE$5),AND($CD$3 = $CE$3,CD17 = CE17)),5,0))</f>
        <v/>
      </c>
      <c r="CE18" s="164"/>
      <c r="CF18" s="162" t="str">
        <f>IF($CF$3="","",IF($CF$3=CF17,2,0)+IF($CG$3=CG17,2,0)+IF(OR(AND($CF$3&gt;$CG$3,CF17 &gt; CG17),AND($CF$3 &lt; $CG$3,CF17&lt;CG17),AND($CF$3 = $CG$3,CF17 = CG17)),5,0))</f>
        <v/>
      </c>
      <c r="CG18" s="164"/>
      <c r="CH18" s="162" t="str">
        <f>IF($CH$3="","",IF($CH$3=CH17,2,0)+IF($CI$3=CI17,2,0)+IF(OR(AND($CH$3&gt;$CI$3,CH17 &gt; CI17),AND($CH$3 &lt; $CI$3,CH17&lt;CI17),AND($CH$3 = $CI$3,CH17 = CI17)),5,0))</f>
        <v/>
      </c>
      <c r="CI18" s="164"/>
      <c r="CJ18" s="162" t="str">
        <f>IF($CJ$3="","",IF($CJ$3=CJ17,2,0)+IF($CK$3=CK17,2,0)+IF(OR(AND($CJ$3&gt;$CK$3,CJ17 &gt; CK17),AND($CJ$3 &lt; $CK$3,CJ17&lt;CK17),AND($CJ$3 = $CK$3,CJ17 = CK17)),5,0))</f>
        <v/>
      </c>
      <c r="CK18" s="164"/>
      <c r="CL18" s="162" t="str">
        <f>IF($CL$3="","",IF($CL$3=CL17,2,0)+IF($CM$3=CM17,2,0)+IF(OR(AND($CL$3&gt;$CM$3,CL17 &gt; CM17),AND($CL$3 &lt; $CM$3,CL17&lt;CM17),AND($CL$3 = $CM$3,CL17 = CM17)),5,0))</f>
        <v/>
      </c>
      <c r="CM18" s="164"/>
      <c r="CN18" s="162" t="str">
        <f>IF($CN$3="","",IF($CN$3=CN17,2,0)+IF($CO$3=CO17,2,0)+IF(OR(AND($CN$3&gt;$CO$3,CN17 &gt; CO17),AND($CN$3 &lt; $CO$3,CN17&lt;CO17),AND($CN$3 = $CO$3,CN17 = CO17)),5,0))</f>
        <v/>
      </c>
      <c r="CO18" s="164"/>
      <c r="CP18" s="162" t="str">
        <f>IF($CP$3="","",IF($CP$3=CP17,2,0)+IF($CQ$3=CQ17,2,0)+IF(OR(AND($CP$3&gt;$CQ$3,CP17 &gt; CQ17),AND($CP$3 &lt; $CQ$3,CP17&lt;CQ17),AND($CP$3 = $CQ$3,CP17 = CQ17)),5,0))</f>
        <v/>
      </c>
      <c r="CQ18" s="164"/>
      <c r="CR18" s="162" t="str">
        <f>IF($CR$3="","",IF($CR$3=CR17,2,0)+IF($CS$3=CS17,2,0)+IF(OR(AND($CR$3&gt;$CS$3,CR17 &gt; CS17),AND($CR$3 &lt; $CS$3,CR17&lt;CS17),AND($CR$3 = $CS$3,CR17 = CS17)),5,0))</f>
        <v/>
      </c>
      <c r="CS18" s="163"/>
      <c r="CT18" s="24">
        <f>SUM(B18:CS18)</f>
        <v>7</v>
      </c>
      <c r="CU18" s="12">
        <f>IF(AND(CW16=$CW$2,CW16&lt;&gt;""),2,0)+IF(AND(CX16=$CX$2,CX16&lt;&gt;""),2,0)+IF(AND(CY16=$CY$2,CY16&lt;&gt;""),2,0)+IF(AND(CZ16=$CZ$2,CZ16&lt;&gt;""),2,0)+IF(AND(DA16=$DA$2,DA16&lt;&gt;""),2,0)+IF(AND(DB16=$DB$2,DB16&lt;&gt;""),2,0)+IF(AND(DC16=$DC$2,DC16&lt;&gt;""),2,0)+IF(AND(DD16=$DD$2,DD16&lt;&gt;""),2,0)+IF(AND(DE16=$DE$2,DE16&lt;&gt;""),2,0)+IF(AND(DF16=$DF$2,DF16&lt;&gt;""),2,0)+IF(AND(DG16=$DG$2,DG16&lt;&gt;""),2,0)+IF(AND(DH16=$DH$2,DH16&lt;&gt;""),2,0)+IF(AND(DI16=$DI$2,DI16&lt;&gt;""),2,0)+IF(AND(DJ16=$DJ$2,DJ16&lt;&gt;""),2,0)+IF(AND(DK16=$DK$2,DK16&lt;&gt;""),2,0)+IF(AND(DL16=$DL$2,DL16&lt;&gt;""),2,0)</f>
        <v>0</v>
      </c>
      <c r="CV18" s="11">
        <f>CT18+CU18</f>
        <v>7</v>
      </c>
      <c r="CW18" s="156" t="str">
        <f>IF($CW$3="","",IF($CW$3=CW17,2,0)+IF($CX$3=CX17,2,0)+IF(OR(AND($CW$3&gt;$CX$3,CW17 &gt; CX17),AND($CW$3 &lt; $CX$3,CW17&lt;CX17),AND($CW$3 = $CX$3,CW17 = CX17)),5,0))</f>
        <v/>
      </c>
      <c r="CX18" s="157"/>
      <c r="CY18" s="157" t="str">
        <f>IF($CY$3="","",IF($CY$3=CY17,2,0)+IF($CZ$3=CZ17,2,0)+IF(OR(AND($CY$3&gt;$CZ$3,CY17 &gt; CZ17),AND($CY$3 &lt; $CZ$3,CY17&lt;CZ17),AND($CY$3 = $CZ$3,CY17 = CZ17)),5,0))</f>
        <v/>
      </c>
      <c r="CZ18" s="157"/>
      <c r="DA18" s="157" t="str">
        <f>IF($DA15="","",IF($DA$3=DA17,2,0)+IF($DB$3=DB17,2,0)+IF(OR(AND($DA$3&gt;$DB$3,DA17 &gt; DB17),AND($DA$3 &lt; $DB$3,DA17&lt;DB17),AND($DA$3 = $DB$3,DA17 = DB17)),5,0))</f>
        <v/>
      </c>
      <c r="DB18" s="157"/>
      <c r="DC18" s="157" t="str">
        <f>IF($DC$3="","",IF($DC$3=DC17,2,0)+IF($DD$3=DD17,2,0)+IF(OR(AND($DC$3&gt;$DD$3,DC17 &gt; DD17),AND($DC$3 &lt; $DD$3,DC17&lt;DD17),AND($DC$3 = $DD$3,DC17 = DD17)),5,0))</f>
        <v/>
      </c>
      <c r="DD18" s="157"/>
      <c r="DE18" s="157" t="str">
        <f>IF($DE$3="","",IF($DE$3=DE17,2,0)+IF($DF$3=DF17,2,0)+IF(OR(AND($DE$3&gt;$DF$3,DE17 &gt; DF17),AND($DE$3 &lt; $DF$3,DE17&lt;DF17),AND($DE$3 = $DF$3,DE17 = DF17)),5,0))</f>
        <v/>
      </c>
      <c r="DF18" s="157"/>
      <c r="DG18" s="157" t="str">
        <f>IF($DG$3="","",IF($DG$3=DG17,2,0)+IF($DH$3=DH17,2,0)+IF(OR(AND($DG$3&gt;$DH$3,DG17 &gt; DH17),AND($DG$3 &lt; $DH$3,DG17&lt;DH17),AND($DG$3 = $DH$3,DG17 = DH17)),5,0))</f>
        <v/>
      </c>
      <c r="DH18" s="157"/>
      <c r="DI18" s="157" t="str">
        <f>IF($DI$3="","",IF($DI$3=DI17,2,0)+IF($DJ$3=DJ17,2,0)+IF(OR(AND($DI$3&gt;$DJ$3,DI17 &gt; DJ17),AND($DI$3 &lt; $DJ$3,DI17&lt;DJ17),AND($DI$3 = $DJ$3,DI17 = DJ17)),5,0))</f>
        <v/>
      </c>
      <c r="DJ18" s="157"/>
      <c r="DK18" s="157" t="str">
        <f>IF($DK$3="","",IF($DK$3=DK17,2,0)+IF($DL$3=DL17,2,0)+IF(OR(AND($DK$3&gt;$DL$3,DK17 &gt; DL17),AND($DK$3 &lt; $DL$3,DK17&lt;DL17),AND($DK$3 = $DL$3,DK17 = DL17)),5,0))</f>
        <v/>
      </c>
      <c r="DL18" s="154"/>
      <c r="DM18" s="24">
        <f>SUM(CW18:DL18)</f>
        <v>0</v>
      </c>
      <c r="DN18" s="12">
        <f>IF(AND(DP16=$DP$2,DP16&lt;&gt;""),2,0)+IF(AND(DQ16=$DQ$2,DQ16&lt;&gt;""),2,0)+IF(AND(DR16=$DR$2,DR16&lt;&gt;""),2,0)+IF(AND(DS16=$DS$2,DS16&lt;&gt;""),2,0)+IF(AND(DT16=$DT$2,DT16&lt;&gt;""),2,0)+IF(AND(DU16=$DU$2,DU16&lt;&gt;""),2,0)+IF(AND(DV16=$DV$2,DV16&lt;&gt;""),2,0)+IF(AND(DW16=$DW$2,DW16&lt;&gt;""),2,0)</f>
        <v>0</v>
      </c>
      <c r="DO18" s="11">
        <f>CV18+DM18+DN18</f>
        <v>7</v>
      </c>
      <c r="DP18" s="159" t="str">
        <f>IF($DP$3="","",IF($DP$3=DP17,2,0)+IF($DQ$3=DQ17,2,0)+IF(OR(AND($DP$3&gt;$DQ$3,DP17 &gt; DQ17),AND($DP$3 &lt; $DQ$3,DP17&lt;DQ17),AND($DP$3 = $DQ$3,DP17 = DQ17)),5,0))</f>
        <v/>
      </c>
      <c r="DQ18" s="160"/>
      <c r="DR18" s="154" t="str">
        <f>IF($DR$3="","",IF($DR$3=DR17,2,0)+IF($DS$3=DS17,2,0)+IF(OR(AND($DR$3&gt;$DS$3,DR17 &gt; DS17),AND($DR$3 &lt; $DS$3,DR17&lt;DS17),AND($DR$3 = $DS$3,DR17 = DS17)),5,0))</f>
        <v/>
      </c>
      <c r="DS18" s="160"/>
      <c r="DT18" s="154" t="str">
        <f>IF($DT$3="","",IF($DT$3=DT17,2,0)+IF($DU$3=DU17,2,0)+IF(OR(AND($DT$3&gt;$DU$3,DT17 &gt; DU17),AND($DT$3 &lt; $DU$3,DT17&lt;DU17),AND($DT$3 = $DU$3,DT17 = DU17)),5,0))</f>
        <v/>
      </c>
      <c r="DU18" s="160"/>
      <c r="DV18" s="154" t="str">
        <f>IF($DV$3="","",IF($DV15=DV17,2,0)+IF($DW$3=DW17,2,0)+IF(OR(AND($DV$3&gt;$DW$3,DV17 &gt; DW17),AND($DV$3 &lt; $DW$3,DV17&lt;DW17),AND($DV$3 = $DW$3,DV17 = DW17)),5,0))</f>
        <v/>
      </c>
      <c r="DW18" s="155"/>
      <c r="DX18" s="24">
        <f>SUM(DP18:DW18)</f>
        <v>0</v>
      </c>
      <c r="DY18" s="12">
        <f>IF(AND(EA16=$EA$2,EA16&lt;&gt;""),3,0)+IF(AND(EB16=$EB$2,EB16&lt;&gt;""),3,0)+IF(AND(EC16=$EC$2,EC16&lt;&gt;""),3,0)+IF(AND(ED16=$ED$2,ED16&lt;&gt;""),3,0)</f>
        <v>0</v>
      </c>
      <c r="DZ18" s="11">
        <f>DO18+DX18+DY18</f>
        <v>7</v>
      </c>
      <c r="EA18" s="156" t="str">
        <f>IF($EA$3="","",IF($EA$3=EA17,2,0)+IF($EB$3=EB17,2,0)+IF(OR(AND($EA$3&gt;$EB$3,EA17 &gt; EB17),AND($EA$3 &lt; $EB$3,EA17&lt;EB17),AND($EA$3 = $EB$3,EA17 = EB17)),5,0))</f>
        <v/>
      </c>
      <c r="EB18" s="157"/>
      <c r="EC18" s="157" t="str">
        <f>IF($EC$3="","",IF($EC$3=EC17,2,0)+IF($ED$3=ED17,2,0)+IF(OR(AND($EC$3&gt;$ED$3,EC17 &gt; ED17),AND($EC$3 &lt; $ED$3,EC17&lt;ED17),AND($EC$3 = $ED$3,EC17 = ED17)),5,0))</f>
        <v/>
      </c>
      <c r="ED18" s="154"/>
      <c r="EE18" s="24">
        <f>SUM(EA18:ED18)</f>
        <v>0</v>
      </c>
      <c r="EF18" s="12">
        <f>IF(AND(EH16=$EH$2,EH16&lt;&gt;""),3,0)+IF(AND(EI16=$EI$2,EI16&lt;&gt;""),3,0)</f>
        <v>0</v>
      </c>
      <c r="EG18" s="11">
        <f>DZ18+EE18+EF18</f>
        <v>7</v>
      </c>
      <c r="EH18" s="156" t="str">
        <f>IF($EH$3="","",IF($EH$3=EH17,2,0)+IF($EI$3=EI17,2,0)+IF(OR(AND($EH$3&gt;$EI$3,EH17 &gt; EI17),AND($EH$3 &lt; $EI$3,EH17&lt;EI17),AND($EH$3 = $EI$3,EH17 = EI17)),5,0))</f>
        <v/>
      </c>
      <c r="EI18" s="154"/>
      <c r="EJ18" s="24">
        <f>SUM(EH18:EI18)</f>
        <v>0</v>
      </c>
      <c r="EK18" s="12">
        <f>IF(AND(EM16=$EM$2,EM16&lt;&gt;""),5,0)+IF(AND(EN16=$EN$2,EN16&lt;&gt;""),5,0)</f>
        <v>0</v>
      </c>
      <c r="EL18" s="11">
        <f>EG18+EJ18+EK18</f>
        <v>7</v>
      </c>
      <c r="EM18" s="156" t="str">
        <f>IF($EM$3="","",IF($EM$3=EM17,2,0)+IF($EN$3=EN17,2,0)+IF(OR(AND($EM$3&gt;$EN$3,EM17 &gt; EN17),AND($EM$3 &lt; $EN$3,EM17&lt;EN17),AND($EM$3 = $EN$3,EM17 = EN17)),5,0))</f>
        <v/>
      </c>
      <c r="EN18" s="158"/>
      <c r="EO18" s="152"/>
      <c r="EP18" s="8" t="str">
        <f>EM18</f>
        <v/>
      </c>
      <c r="EQ18" s="20">
        <f>IF(AND(EO16=$EO$2,EO16&lt;&gt;""),10,0)</f>
        <v>0</v>
      </c>
      <c r="ER18" s="11" t="e">
        <f>EL18+EP18+EQ18</f>
        <v>#VALUE!</v>
      </c>
    </row>
    <row r="19" spans="1:148" s="145" customFormat="1" ht="24" thickBot="1" x14ac:dyDescent="0.35">
      <c r="A19" s="2"/>
      <c r="B19" s="43"/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  <c r="AH19" s="43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6"/>
      <c r="BN19" s="43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17"/>
      <c r="CU19" s="18"/>
      <c r="CV19" s="19"/>
      <c r="CW19" s="78" t="s">
        <v>10</v>
      </c>
      <c r="CX19" s="77" t="s">
        <v>11</v>
      </c>
      <c r="CY19" s="76" t="s">
        <v>15</v>
      </c>
      <c r="CZ19" s="77" t="s">
        <v>21</v>
      </c>
      <c r="DA19" s="76" t="s">
        <v>19</v>
      </c>
      <c r="DB19" s="77" t="s">
        <v>17</v>
      </c>
      <c r="DC19" s="76" t="s">
        <v>12</v>
      </c>
      <c r="DD19" s="77" t="s">
        <v>7</v>
      </c>
      <c r="DE19" s="76" t="s">
        <v>23</v>
      </c>
      <c r="DF19" s="77" t="s">
        <v>28</v>
      </c>
      <c r="DG19" s="76" t="s">
        <v>31</v>
      </c>
      <c r="DH19" s="77" t="s">
        <v>35</v>
      </c>
      <c r="DI19" s="76" t="s">
        <v>27</v>
      </c>
      <c r="DJ19" s="77" t="s">
        <v>24</v>
      </c>
      <c r="DK19" s="76" t="s">
        <v>37</v>
      </c>
      <c r="DL19" s="77" t="s">
        <v>34</v>
      </c>
      <c r="DM19" s="14"/>
      <c r="DN19" s="15"/>
      <c r="DO19" s="16"/>
      <c r="DP19" s="79" t="s">
        <v>23</v>
      </c>
      <c r="DQ19" s="80" t="s">
        <v>31</v>
      </c>
      <c r="DR19" s="79" t="s">
        <v>11</v>
      </c>
      <c r="DS19" s="80" t="s">
        <v>15</v>
      </c>
      <c r="DT19" s="81" t="s">
        <v>12</v>
      </c>
      <c r="DU19" s="80" t="s">
        <v>19</v>
      </c>
      <c r="DV19" s="79" t="s">
        <v>27</v>
      </c>
      <c r="DW19" s="80" t="s">
        <v>37</v>
      </c>
      <c r="DX19" s="7"/>
      <c r="DY19" s="9"/>
      <c r="DZ19" s="10"/>
      <c r="EA19" s="82" t="s">
        <v>15</v>
      </c>
      <c r="EB19" s="83" t="s">
        <v>23</v>
      </c>
      <c r="EC19" s="84" t="s">
        <v>12</v>
      </c>
      <c r="ED19" s="83" t="s">
        <v>27</v>
      </c>
      <c r="EE19" s="7"/>
      <c r="EF19" s="9"/>
      <c r="EG19" s="10"/>
      <c r="EH19" s="85" t="s">
        <v>23</v>
      </c>
      <c r="EI19" s="86" t="s">
        <v>12</v>
      </c>
      <c r="EJ19" s="7"/>
      <c r="EK19" s="9"/>
      <c r="EL19" s="10"/>
      <c r="EM19" s="87" t="s">
        <v>15</v>
      </c>
      <c r="EN19" s="88" t="s">
        <v>27</v>
      </c>
      <c r="EO19" s="89" t="s">
        <v>46</v>
      </c>
      <c r="EP19" s="7"/>
      <c r="EQ19" s="9"/>
      <c r="ER19" s="10"/>
    </row>
    <row r="20" spans="1:148" s="151" customFormat="1" ht="16.5" thickBot="1" x14ac:dyDescent="0.35">
      <c r="A20" s="146" t="s">
        <v>52</v>
      </c>
      <c r="B20" s="92">
        <v>1</v>
      </c>
      <c r="C20" s="93">
        <v>0</v>
      </c>
      <c r="D20" s="94">
        <v>0</v>
      </c>
      <c r="E20" s="93">
        <v>2</v>
      </c>
      <c r="F20" s="94">
        <v>0</v>
      </c>
      <c r="G20" s="93">
        <v>3</v>
      </c>
      <c r="H20" s="94">
        <v>2</v>
      </c>
      <c r="I20" s="93">
        <v>1</v>
      </c>
      <c r="J20" s="94">
        <v>4</v>
      </c>
      <c r="K20" s="93">
        <v>0</v>
      </c>
      <c r="L20" s="94">
        <v>1</v>
      </c>
      <c r="M20" s="93">
        <v>1</v>
      </c>
      <c r="N20" s="94">
        <v>2</v>
      </c>
      <c r="O20" s="93">
        <v>0</v>
      </c>
      <c r="P20" s="94">
        <v>2</v>
      </c>
      <c r="Q20" s="93">
        <v>2</v>
      </c>
      <c r="R20" s="94">
        <v>3</v>
      </c>
      <c r="S20" s="93">
        <v>0</v>
      </c>
      <c r="T20" s="94">
        <v>1</v>
      </c>
      <c r="U20" s="93">
        <v>0</v>
      </c>
      <c r="V20" s="94">
        <v>2</v>
      </c>
      <c r="W20" s="93">
        <v>0</v>
      </c>
      <c r="X20" s="94">
        <v>3</v>
      </c>
      <c r="Y20" s="93">
        <v>2</v>
      </c>
      <c r="Z20" s="94">
        <v>4</v>
      </c>
      <c r="AA20" s="93">
        <v>0</v>
      </c>
      <c r="AB20" s="94">
        <v>1</v>
      </c>
      <c r="AC20" s="93">
        <v>1</v>
      </c>
      <c r="AD20" s="94">
        <v>1</v>
      </c>
      <c r="AE20" s="93">
        <v>0</v>
      </c>
      <c r="AF20" s="94">
        <v>4</v>
      </c>
      <c r="AG20" s="95">
        <v>0</v>
      </c>
      <c r="AH20" s="92">
        <v>1</v>
      </c>
      <c r="AI20" s="93">
        <v>1</v>
      </c>
      <c r="AJ20" s="94">
        <v>3</v>
      </c>
      <c r="AK20" s="93">
        <v>0</v>
      </c>
      <c r="AL20" s="94">
        <v>2</v>
      </c>
      <c r="AM20" s="93">
        <v>2</v>
      </c>
      <c r="AN20" s="94">
        <v>0</v>
      </c>
      <c r="AO20" s="93">
        <v>4</v>
      </c>
      <c r="AP20" s="94">
        <v>2</v>
      </c>
      <c r="AQ20" s="93">
        <v>1</v>
      </c>
      <c r="AR20" s="94">
        <v>2</v>
      </c>
      <c r="AS20" s="93">
        <v>0</v>
      </c>
      <c r="AT20" s="94">
        <v>1</v>
      </c>
      <c r="AU20" s="93">
        <v>1</v>
      </c>
      <c r="AV20" s="94">
        <v>2</v>
      </c>
      <c r="AW20" s="93">
        <v>0</v>
      </c>
      <c r="AX20" s="94">
        <v>4</v>
      </c>
      <c r="AY20" s="93">
        <v>0</v>
      </c>
      <c r="AZ20" s="94">
        <v>0</v>
      </c>
      <c r="BA20" s="93">
        <v>1</v>
      </c>
      <c r="BB20" s="94">
        <v>2</v>
      </c>
      <c r="BC20" s="93">
        <v>0</v>
      </c>
      <c r="BD20" s="94">
        <v>1</v>
      </c>
      <c r="BE20" s="93">
        <v>3</v>
      </c>
      <c r="BF20" s="94">
        <v>3</v>
      </c>
      <c r="BG20" s="93">
        <v>1</v>
      </c>
      <c r="BH20" s="94">
        <v>3</v>
      </c>
      <c r="BI20" s="93">
        <v>1</v>
      </c>
      <c r="BJ20" s="94">
        <v>0</v>
      </c>
      <c r="BK20" s="93">
        <v>1</v>
      </c>
      <c r="BL20" s="94">
        <v>0</v>
      </c>
      <c r="BM20" s="95">
        <v>2</v>
      </c>
      <c r="BN20" s="97">
        <v>1</v>
      </c>
      <c r="BO20" s="98">
        <v>2</v>
      </c>
      <c r="BP20" s="99">
        <v>2</v>
      </c>
      <c r="BQ20" s="98">
        <v>1</v>
      </c>
      <c r="BR20" s="99">
        <v>3</v>
      </c>
      <c r="BS20" s="98">
        <v>1</v>
      </c>
      <c r="BT20" s="99">
        <v>0</v>
      </c>
      <c r="BU20" s="98">
        <v>3</v>
      </c>
      <c r="BV20" s="99">
        <v>0</v>
      </c>
      <c r="BW20" s="98">
        <v>2</v>
      </c>
      <c r="BX20" s="99">
        <v>0</v>
      </c>
      <c r="BY20" s="98">
        <v>3</v>
      </c>
      <c r="BZ20" s="99">
        <v>1</v>
      </c>
      <c r="CA20" s="98">
        <v>3</v>
      </c>
      <c r="CB20" s="99">
        <v>2</v>
      </c>
      <c r="CC20" s="98">
        <v>3</v>
      </c>
      <c r="CD20" s="99">
        <v>1</v>
      </c>
      <c r="CE20" s="98">
        <v>1</v>
      </c>
      <c r="CF20" s="99">
        <v>0</v>
      </c>
      <c r="CG20" s="98">
        <v>4</v>
      </c>
      <c r="CH20" s="99">
        <v>2</v>
      </c>
      <c r="CI20" s="98">
        <v>0</v>
      </c>
      <c r="CJ20" s="99">
        <v>0</v>
      </c>
      <c r="CK20" s="98">
        <v>4</v>
      </c>
      <c r="CL20" s="99">
        <v>0</v>
      </c>
      <c r="CM20" s="98">
        <v>2</v>
      </c>
      <c r="CN20" s="99">
        <v>1</v>
      </c>
      <c r="CO20" s="98">
        <v>3</v>
      </c>
      <c r="CP20" s="99">
        <v>1</v>
      </c>
      <c r="CQ20" s="98">
        <v>2</v>
      </c>
      <c r="CR20" s="99">
        <v>0</v>
      </c>
      <c r="CS20" s="100">
        <v>2</v>
      </c>
      <c r="CT20" s="21"/>
      <c r="CU20" s="22"/>
      <c r="CV20" s="23"/>
      <c r="CW20" s="96">
        <v>5</v>
      </c>
      <c r="CX20" s="91">
        <v>6</v>
      </c>
      <c r="CY20" s="90">
        <v>3</v>
      </c>
      <c r="CZ20" s="91">
        <v>1</v>
      </c>
      <c r="DA20" s="90">
        <v>3</v>
      </c>
      <c r="DB20" s="91">
        <v>1</v>
      </c>
      <c r="DC20" s="90">
        <v>4</v>
      </c>
      <c r="DD20" s="91">
        <v>0</v>
      </c>
      <c r="DE20" s="90">
        <v>2</v>
      </c>
      <c r="DF20" s="91">
        <v>1</v>
      </c>
      <c r="DG20" s="90">
        <v>2</v>
      </c>
      <c r="DH20" s="91">
        <v>0</v>
      </c>
      <c r="DI20" s="90">
        <v>2</v>
      </c>
      <c r="DJ20" s="91">
        <v>0</v>
      </c>
      <c r="DK20" s="90">
        <v>3</v>
      </c>
      <c r="DL20" s="91">
        <v>1</v>
      </c>
      <c r="DM20" s="48"/>
      <c r="DN20" s="29"/>
      <c r="DO20" s="30"/>
      <c r="DP20" s="90">
        <v>3</v>
      </c>
      <c r="DQ20" s="91">
        <v>1</v>
      </c>
      <c r="DR20" s="90">
        <v>0</v>
      </c>
      <c r="DS20" s="91">
        <v>1</v>
      </c>
      <c r="DT20" s="90">
        <v>1</v>
      </c>
      <c r="DU20" s="91">
        <v>0</v>
      </c>
      <c r="DV20" s="90">
        <v>2</v>
      </c>
      <c r="DW20" s="91">
        <v>0</v>
      </c>
      <c r="DX20" s="27"/>
      <c r="DY20" s="25"/>
      <c r="DZ20" s="26"/>
      <c r="EA20" s="90">
        <v>2</v>
      </c>
      <c r="EB20" s="91">
        <v>1</v>
      </c>
      <c r="EC20" s="90">
        <v>0</v>
      </c>
      <c r="ED20" s="91">
        <v>1</v>
      </c>
      <c r="EE20" s="21"/>
      <c r="EF20" s="22"/>
      <c r="EG20" s="23"/>
      <c r="EH20" s="90">
        <v>6</v>
      </c>
      <c r="EI20" s="91">
        <v>5</v>
      </c>
      <c r="EJ20" s="21"/>
      <c r="EK20" s="22"/>
      <c r="EL20" s="23"/>
      <c r="EM20" s="90">
        <v>0</v>
      </c>
      <c r="EN20" s="91">
        <v>1</v>
      </c>
      <c r="EO20" s="153"/>
      <c r="EP20" s="21"/>
      <c r="EQ20" s="22"/>
      <c r="ER20" s="23"/>
    </row>
    <row r="21" spans="1:148" s="151" customFormat="1" ht="16.5" thickBot="1" x14ac:dyDescent="0.35">
      <c r="A21" s="42"/>
      <c r="B21" s="156">
        <f>IF($B$3="","",IF($B$3=B20,2,0)+IF($C$3=C20,2,0)+IF(OR(AND($B$3&gt;$C$3,B20 &gt; C20),AND($B$3 &lt; $C$3,B20&lt;C20),AND($B$3 = $C$3,B20 = C20)),5,0))</f>
        <v>7</v>
      </c>
      <c r="C21" s="161"/>
      <c r="D21" s="157">
        <f>IF($D$3="","",IF($D$3=D20,2,0)+IF($E$3=E20,2,0)+IF(OR(AND($D$3&gt;$E$3,D20 &gt; E20),AND($D$3 &lt; $E$3,D20&lt;E20),AND($D$3 = $E$3,D20 = E20)),5,0))</f>
        <v>7</v>
      </c>
      <c r="E21" s="157"/>
      <c r="F21" s="157" t="str">
        <f>IF($F$3="","",IF($F$3=F20,2,0)+IF($G$3=G20,2,0)+IF(OR(AND($F$3&gt;$G$3,F20 &gt; G20),AND($F$3 &lt; $G$3,F20&lt;G20),AND($F$3 = $G$3,F20 = G20)),5,0))</f>
        <v/>
      </c>
      <c r="G21" s="157"/>
      <c r="H21" s="157" t="str">
        <f>IF($H$3="","",IF($H$3=H20,2,0)+IF($I$3=I20,2,0)+IF(OR(AND($H$3&gt;$I$3,H20 &gt; I20),AND($H$3 &lt; $I$3,H20&lt;I20),AND($H$3 = $I$3,H20 = I20)),5,0))</f>
        <v/>
      </c>
      <c r="I21" s="157"/>
      <c r="J21" s="157" t="str">
        <f>IF($J$3="","",IF($J$3=J20,2,0)+IF($K$3=K20,2,0)+IF(OR(AND($J$3&gt;$K$3,J20 &gt; K20),AND($J$3 &lt; $K$3,J20&lt;K20),AND($J$3 = $K$3,J20 = K20)),5,0))</f>
        <v/>
      </c>
      <c r="K21" s="157"/>
      <c r="L21" s="157" t="str">
        <f>IF($L$3="","",IF($L$3=L20,2,0)+IF($M$3=M20,2,0)+IF(OR(AND($L$3&gt;$M$3,L20 &gt; M20),AND($L$3 &lt; $M$3,L20&lt;M20),AND($L$3 = $M$3,L20 = M20)),5,0))</f>
        <v/>
      </c>
      <c r="M21" s="157"/>
      <c r="N21" s="157" t="str">
        <f>IF($N$3="","",IF($N$3=N20,2,0)+IF($O$3=O20,2,0)+IF(OR(AND($N$3&gt;$O$3,N20 &gt; O20),AND($N$3 &lt; $O$3,N20&lt;O20),AND($N$3 = $O$3,N20 = O20)),5,0))</f>
        <v/>
      </c>
      <c r="O21" s="157"/>
      <c r="P21" s="157" t="str">
        <f>IF($P$3="","",IF($P$3=P20,2,0)+IF($Q$3=Q20,2,0)+IF(OR(AND($P$3&gt;$Q$3,P20 &gt; Q20),AND($P$3 &lt; $Q$3,P20&lt;Q20),AND($P$3 = $Q$3,P20 = Q20)),5,0))</f>
        <v/>
      </c>
      <c r="Q21" s="157"/>
      <c r="R21" s="157" t="str">
        <f>IF($R$3="","",IF($R$3=R20,2,0)+IF($S$3=S20,2,0)+IF(OR(AND($R$3&gt;$S$3,R20 &gt; S20),AND($R$3 &lt; $S$3,R20&lt;S20),AND($R$3 = $S$3,R20 = S20)),5,0))</f>
        <v/>
      </c>
      <c r="S21" s="157"/>
      <c r="T21" s="157" t="str">
        <f>IF($T$3="","",IF($T$3=T20,2,0)+IF($U$3=U20,2,0)+IF(OR(AND($T$3&gt;$U$3,T20 &gt; U20),AND($T$3 &lt; $U$3,T20&lt;U20),AND($T$3 = $U$3,T20 = U20)),5,0))</f>
        <v/>
      </c>
      <c r="U21" s="157"/>
      <c r="V21" s="157" t="str">
        <f>IF($V$3="","",IF($V$3=V20,2,0)+IF($W$3=W20,2,0)+IF(OR(AND($V$3&gt;$W$3,V20 &gt; W20),AND($V$3 &lt; $W$3,V20&lt;W20),AND($V$3 = $W$3,V20 = W20)),5,0))</f>
        <v/>
      </c>
      <c r="W21" s="157"/>
      <c r="X21" s="157" t="str">
        <f>IF($X$3="","",IF($X$3=X20,2,0)+IF($Y$3=Y20,2,0)+IF(OR(AND($X$3&gt;$Y$3,X20 &gt; Y20),AND($X$3 &lt; $Y$3,X20&lt;Y20),AND($X$3 = $Y$3,X20 = Y20)),5,0))</f>
        <v/>
      </c>
      <c r="Y21" s="157"/>
      <c r="Z21" s="157" t="str">
        <f>IF($Z$3="","",IF($Z$3=Z20,2,0)+IF($AA$3=AA20,2,0)+IF(OR(AND($Z$3&gt;$AA$3,Z20 &gt; AA20),AND($Z$3 &lt; $AA$3,Z20&lt;AA20),AND($Z$3 = $AA$3,Z20 = AA20)),5,0))</f>
        <v/>
      </c>
      <c r="AA21" s="157"/>
      <c r="AB21" s="157" t="str">
        <f>IF($AB$3="","",IF($AB$3=AB20,2,0)+IF($AC$3=AC20,2,0)+IF(OR(AND($AB$3&gt;$AC$3,AB20 &gt; AC20),AND($AB$3 &lt; $AC$3,AB20&lt;AC20),AND($AB$3 = $AC$3,AB20 = AC20)),5,0))</f>
        <v/>
      </c>
      <c r="AC21" s="157"/>
      <c r="AD21" s="157" t="str">
        <f>IF($AD$3="","",IF($AD$3=AD20,2,0)+IF($AE$3=AE20,2,0)+IF(OR(AND($AD$3&gt;$AE$3,AD20 &gt; AE20),AND($AD$3 &lt; $AE$3,AD20&lt;AE20),AND($AD$3 = $AE$3,AD20 = AE20)),5,0))</f>
        <v/>
      </c>
      <c r="AE21" s="157"/>
      <c r="AF21" s="157" t="str">
        <f>IF($AF$3="","",IF($AF$3=AF20,2,0)+IF($AG$3=AG20,2,0)+IF(OR(AND($AF$3&gt;$AG$3,AF20 &gt; AG20),AND($AF$3 &lt; $AG$3,AF20&lt;AG20),AND($AF$3 = $AG$3,AF20 = AG20)),5,0))</f>
        <v/>
      </c>
      <c r="AG21" s="158"/>
      <c r="AH21" s="160" t="str">
        <f>IF($AH$3="","",IF($AH$3=AH20,2,0)+IF($AI$3=AI20,2,0)+IF(OR(AND($AH$3&gt;$AI$3,AH20 &gt; AI20),AND($AH$3 &lt; $AI$3,AH20&lt;AI20),AND($AH$3 = $AI$3,AH20 = AI20)),5,0))</f>
        <v/>
      </c>
      <c r="AI21" s="157"/>
      <c r="AJ21" s="157" t="str">
        <f>IF($AJ$3="","",IF($AJ$3=AJ20,2,0)+IF($AK$3=AK20,2,0)+IF(OR(AND($AJ$3&gt;$AK$3,AJ20 &gt; AK20),AND($AJ$3 &lt; $AK$3,AJ20&lt;AK20),AND($AJ$3 = $AK$3,AJ20 = AK20)),5,0))</f>
        <v/>
      </c>
      <c r="AK21" s="157"/>
      <c r="AL21" s="157" t="str">
        <f>IF($AL$3="","",IF($AL$3=AL20,2,0)+IF($AM$3=AM20,2,0)+IF(OR(AND($AL$3&gt;$AM$3,AL20 &gt; AM20),AND($AL$3 &lt; $AM$3,AL20&lt;AM20),AND($AL$3 = $AM$3,AL20 = AM20)),5,0))</f>
        <v/>
      </c>
      <c r="AM21" s="157"/>
      <c r="AN21" s="157" t="str">
        <f>IF($AN$3="","",IF($AN$3=AN20,2,0)+IF($AO$3=AO20,2,0)+IF(OR(AND($AN$3&gt;$AO$3,AN20 &gt; AO20),AND($AN$3 &lt; $AO$3,AN20&lt;AO20),AND($AN$3 = $AO$3,AN20 = AO20)),5,0))</f>
        <v/>
      </c>
      <c r="AO21" s="157"/>
      <c r="AP21" s="157" t="str">
        <f>IF($AP$3="","",IF($AP$3=AP20,2,0)+IF($AQ$3=AQ20,2,0)+IF(OR(AND($AP$3&gt;$AQ$3,AP20 &gt; AQ20),AND($AP$3 &lt; $AQ$3,AP20&lt;AQ20),AND($AP$3 = $AQ$3,AP20 = AQ20)),5,0))</f>
        <v/>
      </c>
      <c r="AQ21" s="157"/>
      <c r="AR21" s="157" t="str">
        <f>IF($AR$3="","",IF($AR$3=AR20,2,0)+IF($AS$3=AS20,2,0)+IF(OR(AND($AR$3&gt;$AS$3,AR20 &gt; AS20),AND($AR$3 &lt; $AS$3,AR20&lt;AS20),AND($AR$3 = $AS$3,AR20 = AS20)),5,0))</f>
        <v/>
      </c>
      <c r="AS21" s="157"/>
      <c r="AT21" s="157" t="str">
        <f>IF($AT$3="","",IF($AT$3=AT20,2,0)+IF($AU$3=AU20,2,0)+IF(OR(AND($AT$3&gt;$AU$3,AT20 &gt; AU20),AND($AT$3 &lt; $AU$3,AT20&lt;AU20),AND($AT$3 = $AU$3,AT20 = AU20)),5,0))</f>
        <v/>
      </c>
      <c r="AU21" s="157"/>
      <c r="AV21" s="157" t="str">
        <f>IF($AV$3="","",IF($AV$3=AV20,2,0)+IF($AW$3=AW20,2,0)+IF(OR(AND($AV$3&gt;$AW$3,AV20 &gt; AW20),AND($AV$3 &lt; $AW$3,AV20&lt;AW20),AND($AV$3 = $AW$3,AV20 = AW20)),5,0))</f>
        <v/>
      </c>
      <c r="AW21" s="157"/>
      <c r="AX21" s="157" t="str">
        <f>IF($AX$3="","",IF($AX$3=AX20,2,0)+IF($AY$3=AY20,2,0)+IF(OR(AND($AX$3&gt;$AY$3,AX20 &gt; AY20),AND($AX$3 &lt; $AY$3,AX20&lt;AY20),AND($AX$3 = $AY$3,AX20 = AY20)),5,0))</f>
        <v/>
      </c>
      <c r="AY21" s="157"/>
      <c r="AZ21" s="157" t="str">
        <f>IF($AZ$3="","",IF($AZ$3=AZ20,2,0)+IF($BA$3=BA20,2,0)+IF(OR(AND($AZ$3&gt;$BA$3,AZ20 &gt; BA20),AND($AZ$3 &lt; $BA$3,AZ20&lt;BA20),AND($AZ$3 = $BA$3,AZ20 = BA20)),5,0))</f>
        <v/>
      </c>
      <c r="BA21" s="157"/>
      <c r="BB21" s="157" t="str">
        <f>IF($BB$3="","",IF($BB$3=BB20,2,0)+IF($BC$3=BC20,2,0)+IF(OR(AND($BB$3&gt;$BC$3,BB20 &gt; BC20),AND($BB$3 &lt; $BC$3,BB20&lt;BC20),AND($BB$3 = $BC$3,BB20 = BC20)),5,0))</f>
        <v/>
      </c>
      <c r="BC21" s="157"/>
      <c r="BD21" s="157" t="str">
        <f>IF($BD$3="","",IF($BD$3=BD20,2,0)+IF($BE$3=BE20,2,0)+IF(OR(AND($BD$3&gt;$BE$3,BD20 &gt; BE20),AND($BD$3 &lt; $BE$3,BD20&lt;BE20),AND($BD$3 = $BE$3,BD20 = BE20)),5,0))</f>
        <v/>
      </c>
      <c r="BE21" s="157"/>
      <c r="BF21" s="157" t="str">
        <f>IF($BF$3="","",IF($BF$3=BF20,2,0)+IF($BG$3=BG20,2,0)+IF(OR(AND($BF$3&gt;$BG$3,BF20 &gt; BG20),AND($BF$3 &lt; $BG$3,BF20&lt;BG20),AND($BF$3 = $BG$3,BF20 = BG20)),5,0))</f>
        <v/>
      </c>
      <c r="BG21" s="157"/>
      <c r="BH21" s="157" t="str">
        <f>IF($BH$3="","",IF($BH$3=BH20,2,0)+IF($BI$3=BI20,2,0)+IF(OR(AND($BH$3&gt;$BI$3,BH20 &gt; BI20),AND($BH$3 &lt; $BI$3,BH20&lt;BI20),AND($BH$3 = $BI$3,BH20 = BI20)),5,0))</f>
        <v/>
      </c>
      <c r="BI21" s="157"/>
      <c r="BJ21" s="157" t="str">
        <f>IF($BJ$3="","",IF($BJ$3=BJ20,2,0)+IF($BK$3=BK20,2,0)+IF(OR(AND($BJ$3&gt;$BK$3,BJ20 &gt; BK20),AND($BJ$3 &lt; $BK$3,BJ20&lt;BK20),AND($BJ$3 = $BK$3,BJ20 = BK20)),5,0))</f>
        <v/>
      </c>
      <c r="BK21" s="157"/>
      <c r="BL21" s="157" t="str">
        <f>IF($BL$3="","",IF($BL$3=BL20,2,0)+IF($BM$3=BM20,2,0)+IF(OR(AND($BL$3&gt;$BM$3,BL20 &gt; BM20),AND($BL$3 &lt; $BM$3,BL20&lt;BM20),AND($BL$3 = $BM$3,BL20 = BM20)),5,0))</f>
        <v/>
      </c>
      <c r="BM21" s="154"/>
      <c r="BN21" s="156" t="str">
        <f>IF($BN$3="","",IF($BN$3=BN20,2,0)+IF($BO$3=BO20,2,0)+IF(OR(AND($BN$3&gt;$BO$3,BN20 &gt; BO20),AND($BN$3 &lt; $BO$3,BN20&lt;BO20),AND($BN$3 = $BO$3,BN20 = BO20)),5,0))</f>
        <v/>
      </c>
      <c r="BO21" s="157"/>
      <c r="BP21" s="157" t="str">
        <f>IF($BP$3="","",IF($BP$3=BP20,2,0)+IF($BQ$3=BQ20,2,0)+IF(OR(AND($BP$3&gt;$BQ$3,BP20 &gt; BQ20),AND($BP$3 &lt; $BQ$3,BP20&lt;BQ20),AND($BP$3 = $BQ$3,BP20 = BQ20)),5,0))</f>
        <v/>
      </c>
      <c r="BQ21" s="157"/>
      <c r="BR21" s="157" t="str">
        <f>IF($BR$3="","",IF($BR$3=BR20,2,0)+IF($BS$3=BS20,2,0)+IF(OR(AND($BR$3&gt;$BS$3,BR20 &gt; BS20),AND($BR$3 &lt; $BS$3,BR20&lt;BS20),AND($BR$3 = $BS$3,BR20 = BS20)),5,0))</f>
        <v/>
      </c>
      <c r="BS21" s="157"/>
      <c r="BT21" s="157" t="str">
        <f>IF($BT$3="","",IF($BT$3=BT20,2,0)+IF($BU$3=BU20,2,0)+IF(OR(AND($BT$3&gt;$BU$3,BT20 &gt; BU20),AND($BT$3 &lt; $BU$3,BT20&lt;BU20),AND($BT$3 = $BU$3,BT20 = BU20)),5,0))</f>
        <v/>
      </c>
      <c r="BU21" s="157"/>
      <c r="BV21" s="157" t="str">
        <f>IF($BV$3="","",IF($BV$3=BV20,2,0)+IF($BW$3=BW20,2,0)+IF(OR(AND($BV$3&gt;$BW$3,BV20 &gt; BW20),AND($BV$3 &lt; $BW$3,BV20&lt;BW20),AND($BV$3 = $BW$3,BV20 = BW20)),5,0))</f>
        <v/>
      </c>
      <c r="BW21" s="157"/>
      <c r="BX21" s="157" t="str">
        <f>IF($BX$3="","",IF($BX$3=BX20,2,0)+IF($BY$3=BY20,2,0)+IF(OR(AND($BX$3&gt;$BY$3,BX20 &gt; BY20),AND($BX$3 &lt; $BY$3,BX20&lt;BY20),AND($BX$3 = $BY$3,BX20 = BY20)),5,0))</f>
        <v/>
      </c>
      <c r="BY21" s="157"/>
      <c r="BZ21" s="157" t="str">
        <f>IF($BZ$3="","",IF($BZ$3=BZ20,2,0)+IF($CA$3=CA20,2,0)+IF(OR(AND($BZ$3&gt;$CA$3,BZ20 &gt; CA20),AND($BZ$3 &lt; $CA$3,BZ20&lt;CA20),AND($BZ$3 = $CA$3,BZ20 = CA20)),5,0))</f>
        <v/>
      </c>
      <c r="CA21" s="157"/>
      <c r="CB21" s="157" t="str">
        <f>IF($CB$3="","",IF($CB$3=CB20,2,0)+IF($CC$3=CC20,2,0)+IF(OR(AND($CB$3&gt;$CC$3,CB20 &gt; CC20),AND($CB$3 &lt; $CC$3,CB20&lt;CC20),AND($CB$3 = $CC$3,CB20 = CC20)),5,0))</f>
        <v/>
      </c>
      <c r="CC21" s="157"/>
      <c r="CD21" s="157" t="str">
        <f>IF($CD$3="","",IF($CD$3=CD20,2,0)+IF($CE$3=CE20,2,0)+IF(OR(AND($CD$3&gt;$CE$3,CD20 &gt; CE20),AND($CD$3 &lt; $CE$3,CD20&lt;$CE$5),AND($CD$3 = $CE$3,CD20 = CE20)),5,0))</f>
        <v/>
      </c>
      <c r="CE21" s="157"/>
      <c r="CF21" s="157" t="str">
        <f>IF($CF$3="","",IF($CF$3=CF20,2,0)+IF($CG$3=CG20,2,0)+IF(OR(AND($CF$3&gt;$CG$3,CF20 &gt; CG20),AND($CF$3 &lt; $CG$3,CF20&lt;CG20),AND($CF$3 = $CG$3,CF20 = CG20)),5,0))</f>
        <v/>
      </c>
      <c r="CG21" s="157"/>
      <c r="CH21" s="157" t="str">
        <f>IF($CH$3="","",IF($CH$3=CH20,2,0)+IF($CI$3=CI20,2,0)+IF(OR(AND($CH$3&gt;$CI$3,CH20 &gt; CI20),AND($CH$3 &lt; $CI$3,CH20&lt;CI20),AND($CH$3 = $CI$3,CH20 = CI20)),5,0))</f>
        <v/>
      </c>
      <c r="CI21" s="157"/>
      <c r="CJ21" s="157" t="str">
        <f>IF($CJ$3="","",IF($CJ$3=CJ20,2,0)+IF($CK$3=CK20,2,0)+IF(OR(AND($CJ$3&gt;$CK$3,CJ20 &gt; CK20),AND($CJ$3 &lt; $CK$3,CJ20&lt;CK20),AND($CJ$3 = $CK$3,CJ20 = CK20)),5,0))</f>
        <v/>
      </c>
      <c r="CK21" s="157"/>
      <c r="CL21" s="157" t="str">
        <f>IF($CL$3="","",IF($CL$3=CL20,2,0)+IF($CM$3=CM20,2,0)+IF(OR(AND($CL$3&gt;$CM$3,CL20 &gt; CM20),AND($CL$3 &lt; $CM$3,CL20&lt;CM20),AND($CL$3 = $CM$3,CL20 = CM20)),5,0))</f>
        <v/>
      </c>
      <c r="CM21" s="157"/>
      <c r="CN21" s="157" t="str">
        <f>IF($CN$3="","",IF($CN$3=CN20,2,0)+IF($CO$3=CO20,2,0)+IF(OR(AND($CN$3&gt;$CO$3,CN20 &gt; CO20),AND($CN$3 &lt; $CO$3,CN20&lt;CO20),AND($CN$3 = $CO$3,CN20 = CO20)),5,0))</f>
        <v/>
      </c>
      <c r="CO21" s="157"/>
      <c r="CP21" s="157" t="str">
        <f>IF($CP$3="","",IF($CP$3=CP20,2,0)+IF($CQ$3=CQ20,2,0)+IF(OR(AND($CP$3&gt;$CQ$3,CP20 &gt; CQ20),AND($CP$3 &lt; $CQ$3,CP20&lt;CQ20),AND($CP$3 = $CQ$3,CP20 = CQ20)),5,0))</f>
        <v/>
      </c>
      <c r="CQ21" s="157"/>
      <c r="CR21" s="157" t="str">
        <f>IF($CR$3="","",IF($CR$3=CR20,2,0)+IF($CS$3=CS20,2,0)+IF(OR(AND($CR$3&gt;$CS$3,CR20 &gt; CS20),AND($CR$3 &lt; $CS$3,CR20&lt;CS20),AND($CR$3 = $CS$3,CR20 = CS20)),5,0))</f>
        <v/>
      </c>
      <c r="CS21" s="154"/>
      <c r="CT21" s="24">
        <f>SUM(B21:CS21)</f>
        <v>14</v>
      </c>
      <c r="CU21" s="12">
        <f>IF(AND(CW19=$CW$2,CW19&lt;&gt;""),2,0)+IF(AND(CX19=$CX$2,CX19&lt;&gt;""),2,0)+IF(AND(CY19=$CY$2,CY19&lt;&gt;""),2,0)+IF(AND(CZ19=$CZ$2,CZ19&lt;&gt;""),2,0)+IF(AND(DA19=$DA$2,DA19&lt;&gt;""),2,0)+IF(AND(DB19=$DB$2,DB19&lt;&gt;""),2,0)+IF(AND(DC19=$DC$2,DC19&lt;&gt;""),2,0)+IF(AND(DD19=$DD$2,DD19&lt;&gt;""),2,0)+IF(AND(DE19=$DE$2,DE19&lt;&gt;""),2,0)+IF(AND(DF19=$DF$2,DF19&lt;&gt;""),2,0)+IF(AND(DG19=$DG$2,DG19&lt;&gt;""),2,0)+IF(AND(DH19=$DH$2,DH19&lt;&gt;""),2,0)+IF(AND(DI19=$DI$2,DI19&lt;&gt;""),2,0)+IF(AND(DJ19=$DJ$2,DJ19&lt;&gt;""),2,0)+IF(AND(DK19=$DK$2,DK19&lt;&gt;""),2,0)+IF(AND(DL19=$DL$2,DL19&lt;&gt;""),2,0)</f>
        <v>0</v>
      </c>
      <c r="CV21" s="11">
        <f>CT21+CU21</f>
        <v>14</v>
      </c>
      <c r="CW21" s="156" t="str">
        <f>IF($CW$3="","",IF($CW$3=CW20,2,0)+IF($CX$3=CX20,2,0)+IF(OR(AND($CW$3&gt;$CX$3,CW20 &gt; CX20),AND($CW$3 &lt; $CX$3,CW20&lt;CX20),AND($CW$3 = $CX$3,CW20 = CX20)),5,0))</f>
        <v/>
      </c>
      <c r="CX21" s="157"/>
      <c r="CY21" s="157" t="str">
        <f>IF($CY$3="","",IF($CY$3=CY20,2,0)+IF($CZ$3=CZ20,2,0)+IF(OR(AND($CY$3&gt;$CZ$3,CY20 &gt; CZ20),AND($CY$3 &lt; $CZ$3,CY20&lt;CZ20),AND($CY$3 = $CZ$3,CY20 = CZ20)),5,0))</f>
        <v/>
      </c>
      <c r="CZ21" s="157"/>
      <c r="DA21" s="157" t="str">
        <f>IF($DA18="","",IF($DA$3=DA20,2,0)+IF($DB$3=DB20,2,0)+IF(OR(AND($DA$3&gt;$DB$3,DA20 &gt; DB20),AND($DA$3 &lt; $DB$3,DA20&lt;DB20),AND($DA$3 = $DB$3,DA20 = DB20)),5,0))</f>
        <v/>
      </c>
      <c r="DB21" s="157"/>
      <c r="DC21" s="157" t="str">
        <f>IF($DC$3="","",IF($DC$3=DC20,2,0)+IF($DD$3=DD20,2,0)+IF(OR(AND($DC$3&gt;$DD$3,DC20 &gt; DD20),AND($DC$3 &lt; $DD$3,DC20&lt;DD20),AND($DC$3 = $DD$3,DC20 = DD20)),5,0))</f>
        <v/>
      </c>
      <c r="DD21" s="157"/>
      <c r="DE21" s="157" t="str">
        <f>IF($DE$3="","",IF($DE$3=DE20,2,0)+IF($DF$3=DF20,2,0)+IF(OR(AND($DE$3&gt;$DF$3,DE20 &gt; DF20),AND($DE$3 &lt; $DF$3,DE20&lt;DF20),AND($DE$3 = $DF$3,DE20 = DF20)),5,0))</f>
        <v/>
      </c>
      <c r="DF21" s="157"/>
      <c r="DG21" s="157" t="str">
        <f>IF($DG$3="","",IF($DG$3=DG20,2,0)+IF($DH$3=DH20,2,0)+IF(OR(AND($DG$3&gt;$DH$3,DG20 &gt; DH20),AND($DG$3 &lt; $DH$3,DG20&lt;DH20),AND($DG$3 = $DH$3,DG20 = DH20)),5,0))</f>
        <v/>
      </c>
      <c r="DH21" s="157"/>
      <c r="DI21" s="157" t="str">
        <f>IF($DI$3="","",IF($DI$3=DI20,2,0)+IF($DJ$3=DJ20,2,0)+IF(OR(AND($DI$3&gt;$DJ$3,DI20 &gt; DJ20),AND($DI$3 &lt; $DJ$3,DI20&lt;DJ20),AND($DI$3 = $DJ$3,DI20 = DJ20)),5,0))</f>
        <v/>
      </c>
      <c r="DJ21" s="157"/>
      <c r="DK21" s="157" t="str">
        <f>IF($DK$3="","",IF($DK$3=DK20,2,0)+IF($DL$3=DL20,2,0)+IF(OR(AND($DK$3&gt;$DL$3,DK20 &gt; DL20),AND($DK$3 &lt; $DL$3,DK20&lt;DL20),AND($DK$3 = $DL$3,DK20 = DL20)),5,0))</f>
        <v/>
      </c>
      <c r="DL21" s="154"/>
      <c r="DM21" s="24">
        <f>SUM(CW21:DL21)</f>
        <v>0</v>
      </c>
      <c r="DN21" s="12">
        <f>IF(AND(DP19=$DP$2,DP19&lt;&gt;""),2,0)+IF(AND(DQ19=$DQ$2,DQ19&lt;&gt;""),2,0)+IF(AND(DR19=$DR$2,DR19&lt;&gt;""),2,0)+IF(AND(DS19=$DS$2,DS19&lt;&gt;""),2,0)+IF(AND(DT19=$DT$2,DT19&lt;&gt;""),2,0)+IF(AND(DU19=$DU$2,DU19&lt;&gt;""),2,0)+IF(AND(DV19=$DV$2,DV19&lt;&gt;""),2,0)+IF(AND(DW19=$DW$2,DW19&lt;&gt;""),2,0)</f>
        <v>0</v>
      </c>
      <c r="DO21" s="11">
        <f>CV21+DM21+DN21</f>
        <v>14</v>
      </c>
      <c r="DP21" s="159" t="str">
        <f>IF($DP$3="","",IF($DP$3=DP20,2,0)+IF($DQ$3=DQ20,2,0)+IF(OR(AND($DP$3&gt;$DQ$3,DP20 &gt; DQ20),AND($DP$3 &lt; $DQ$3,DP20&lt;DQ20),AND($DP$3 = $DQ$3,DP20 = DQ20)),5,0))</f>
        <v/>
      </c>
      <c r="DQ21" s="160"/>
      <c r="DR21" s="154" t="str">
        <f>IF($DR$3="","",IF($DR$3=DR20,2,0)+IF($DS$3=DS20,2,0)+IF(OR(AND($DR$3&gt;$DS$3,DR20 &gt; DS20),AND($DR$3 &lt; $DS$3,DR20&lt;DS20),AND($DR$3 = $DS$3,DR20 = DS20)),5,0))</f>
        <v/>
      </c>
      <c r="DS21" s="160"/>
      <c r="DT21" s="154" t="str">
        <f>IF($DT$3="","",IF($DT$3=DT20,2,0)+IF($DU$3=DU20,2,0)+IF(OR(AND($DT$3&gt;$DU$3,DT20 &gt; DU20),AND($DT$3 &lt; $DU$3,DT20&lt;DU20),AND($DT$3 = $DU$3,DT20 = DU20)),5,0))</f>
        <v/>
      </c>
      <c r="DU21" s="160"/>
      <c r="DV21" s="154" t="str">
        <f>IF($DV$3="","",IF($DV18=DV20,2,0)+IF($DW$3=DW20,2,0)+IF(OR(AND($DV$3&gt;$DW$3,DV20 &gt; DW20),AND($DV$3 &lt; $DW$3,DV20&lt;DW20),AND($DV$3 = $DW$3,DV20 = DW20)),5,0))</f>
        <v/>
      </c>
      <c r="DW21" s="155"/>
      <c r="DX21" s="24">
        <f>SUM(DP21:DW21)</f>
        <v>0</v>
      </c>
      <c r="DY21" s="12">
        <f>IF(AND(EA19=$EA$2,EA19&lt;&gt;""),3,0)+IF(AND(EB19=$EB$2,EB19&lt;&gt;""),3,0)+IF(AND(EC19=$EC$2,EC19&lt;&gt;""),3,0)+IF(AND(ED19=$ED$2,ED19&lt;&gt;""),3,0)</f>
        <v>0</v>
      </c>
      <c r="DZ21" s="11">
        <f>DO21+DX21+DY21</f>
        <v>14</v>
      </c>
      <c r="EA21" s="156" t="str">
        <f>IF($EA$3="","",IF($EA$3=EA20,2,0)+IF($EB$3=EB20,2,0)+IF(OR(AND($EA$3&gt;$EB$3,EA20 &gt; EB20),AND($EA$3 &lt; $EB$3,EA20&lt;EB20),AND($EA$3 = $EB$3,EA20 = EB20)),5,0))</f>
        <v/>
      </c>
      <c r="EB21" s="157"/>
      <c r="EC21" s="157" t="str">
        <f>IF($EC$3="","",IF($EC$3=EC20,2,0)+IF($ED$3=ED20,2,0)+IF(OR(AND($EC$3&gt;$ED$3,EC20 &gt; ED20),AND($EC$3 &lt; $ED$3,EC20&lt;ED20),AND($EC$3 = $ED$3,EC20 = ED20)),5,0))</f>
        <v/>
      </c>
      <c r="ED21" s="154"/>
      <c r="EE21" s="24">
        <f>SUM(EA21:ED21)</f>
        <v>0</v>
      </c>
      <c r="EF21" s="12">
        <f>IF(AND(EH19=$EH$2,EH19&lt;&gt;""),3,0)+IF(AND(EI19=$EI$2,EI19&lt;&gt;""),3,0)</f>
        <v>0</v>
      </c>
      <c r="EG21" s="11">
        <f>DZ21+EE21+EF21</f>
        <v>14</v>
      </c>
      <c r="EH21" s="156" t="str">
        <f>IF($EH$3="","",IF($EH$3=EH20,2,0)+IF($EI$3=EI20,2,0)+IF(OR(AND($EH$3&gt;$EI$3,EH20 &gt; EI20),AND($EH$3 &lt; $EI$3,EH20&lt;EI20),AND($EH$3 = $EI$3,EH20 = EI20)),5,0))</f>
        <v/>
      </c>
      <c r="EI21" s="154"/>
      <c r="EJ21" s="24">
        <f>SUM(EH21:EI21)</f>
        <v>0</v>
      </c>
      <c r="EK21" s="12">
        <f>IF(AND(EM19=$EM$2,EM19&lt;&gt;""),5,0)+IF(AND(EN19=$EN$2,EN19&lt;&gt;""),5,0)</f>
        <v>0</v>
      </c>
      <c r="EL21" s="11">
        <f>EG21+EJ21+EK21</f>
        <v>14</v>
      </c>
      <c r="EM21" s="156" t="str">
        <f>IF($EM$3="","",IF($EM$3=EM20,2,0)+IF($EN$3=EN20,2,0)+IF(OR(AND($EM$3&gt;$EN$3,EM20 &gt; EN20),AND($EM$3 &lt; $EN$3,EM20&lt;EN20),AND($EM$3 = $EN$3,EM20 = EN20)),5,0))</f>
        <v/>
      </c>
      <c r="EN21" s="158"/>
      <c r="EO21" s="152"/>
      <c r="EP21" s="8" t="str">
        <f>EM21</f>
        <v/>
      </c>
      <c r="EQ21" s="20">
        <f>IF(AND(EO19=$EO$2,EO19&lt;&gt;""),10,0)</f>
        <v>0</v>
      </c>
      <c r="ER21" s="11" t="e">
        <f>EL21+EP21+EQ21</f>
        <v>#VALUE!</v>
      </c>
    </row>
    <row r="22" spans="1:148" s="145" customFormat="1" ht="24" thickBot="1" x14ac:dyDescent="0.35">
      <c r="A22" s="2"/>
      <c r="B22" s="43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6"/>
      <c r="AH22" s="43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6"/>
      <c r="BN22" s="43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17"/>
      <c r="CU22" s="18"/>
      <c r="CV22" s="19"/>
      <c r="CW22" s="78" t="s">
        <v>10</v>
      </c>
      <c r="CX22" s="77" t="s">
        <v>11</v>
      </c>
      <c r="CY22" s="76" t="s">
        <v>15</v>
      </c>
      <c r="CZ22" s="77" t="s">
        <v>21</v>
      </c>
      <c r="DA22" s="76" t="s">
        <v>19</v>
      </c>
      <c r="DB22" s="77" t="s">
        <v>18</v>
      </c>
      <c r="DC22" s="76" t="s">
        <v>12</v>
      </c>
      <c r="DD22" s="77" t="s">
        <v>7</v>
      </c>
      <c r="DE22" s="76" t="s">
        <v>23</v>
      </c>
      <c r="DF22" s="77" t="s">
        <v>28</v>
      </c>
      <c r="DG22" s="76" t="s">
        <v>31</v>
      </c>
      <c r="DH22" s="77" t="s">
        <v>37</v>
      </c>
      <c r="DI22" s="76" t="s">
        <v>27</v>
      </c>
      <c r="DJ22" s="77" t="s">
        <v>24</v>
      </c>
      <c r="DK22" s="76" t="s">
        <v>35</v>
      </c>
      <c r="DL22" s="77" t="s">
        <v>34</v>
      </c>
      <c r="DM22" s="14"/>
      <c r="DN22" s="15"/>
      <c r="DO22" s="16"/>
      <c r="DP22" s="79" t="s">
        <v>23</v>
      </c>
      <c r="DQ22" s="80" t="s">
        <v>37</v>
      </c>
      <c r="DR22" s="79" t="s">
        <v>10</v>
      </c>
      <c r="DS22" s="80" t="s">
        <v>15</v>
      </c>
      <c r="DT22" s="81" t="s">
        <v>12</v>
      </c>
      <c r="DU22" s="80" t="s">
        <v>19</v>
      </c>
      <c r="DV22" s="79" t="s">
        <v>27</v>
      </c>
      <c r="DW22" s="80" t="s">
        <v>34</v>
      </c>
      <c r="DX22" s="7"/>
      <c r="DY22" s="9"/>
      <c r="DZ22" s="10"/>
      <c r="EA22" s="82" t="s">
        <v>15</v>
      </c>
      <c r="EB22" s="83" t="s">
        <v>23</v>
      </c>
      <c r="EC22" s="84" t="s">
        <v>19</v>
      </c>
      <c r="ED22" s="83" t="s">
        <v>27</v>
      </c>
      <c r="EE22" s="7"/>
      <c r="EF22" s="9"/>
      <c r="EG22" s="10"/>
      <c r="EH22" s="85" t="s">
        <v>15</v>
      </c>
      <c r="EI22" s="86" t="s">
        <v>19</v>
      </c>
      <c r="EJ22" s="7"/>
      <c r="EK22" s="9"/>
      <c r="EL22" s="10"/>
      <c r="EM22" s="87" t="s">
        <v>23</v>
      </c>
      <c r="EN22" s="88" t="s">
        <v>27</v>
      </c>
      <c r="EO22" s="89" t="s">
        <v>46</v>
      </c>
      <c r="EP22" s="7"/>
      <c r="EQ22" s="9"/>
      <c r="ER22" s="10"/>
    </row>
    <row r="23" spans="1:148" s="151" customFormat="1" ht="16.5" thickBot="1" x14ac:dyDescent="0.35">
      <c r="A23" s="146" t="s">
        <v>54</v>
      </c>
      <c r="B23" s="92">
        <v>2</v>
      </c>
      <c r="C23" s="93">
        <v>0</v>
      </c>
      <c r="D23" s="94">
        <v>1</v>
      </c>
      <c r="E23" s="93">
        <v>2</v>
      </c>
      <c r="F23" s="94">
        <v>0</v>
      </c>
      <c r="G23" s="93">
        <v>1</v>
      </c>
      <c r="H23" s="94">
        <v>1</v>
      </c>
      <c r="I23" s="93">
        <v>1</v>
      </c>
      <c r="J23" s="94">
        <v>2</v>
      </c>
      <c r="K23" s="93">
        <v>0</v>
      </c>
      <c r="L23" s="94">
        <v>1</v>
      </c>
      <c r="M23" s="93">
        <v>2</v>
      </c>
      <c r="N23" s="94">
        <v>2</v>
      </c>
      <c r="O23" s="93">
        <v>0</v>
      </c>
      <c r="P23" s="94">
        <v>1</v>
      </c>
      <c r="Q23" s="93">
        <v>0</v>
      </c>
      <c r="R23" s="94">
        <v>2</v>
      </c>
      <c r="S23" s="93">
        <v>1</v>
      </c>
      <c r="T23" s="94">
        <v>1</v>
      </c>
      <c r="U23" s="93">
        <v>1</v>
      </c>
      <c r="V23" s="94">
        <v>3</v>
      </c>
      <c r="W23" s="93">
        <v>1</v>
      </c>
      <c r="X23" s="94">
        <v>1</v>
      </c>
      <c r="Y23" s="93">
        <v>1</v>
      </c>
      <c r="Z23" s="94">
        <v>2</v>
      </c>
      <c r="AA23" s="93">
        <v>0</v>
      </c>
      <c r="AB23" s="94">
        <v>0</v>
      </c>
      <c r="AC23" s="93">
        <v>2</v>
      </c>
      <c r="AD23" s="94">
        <v>1</v>
      </c>
      <c r="AE23" s="93">
        <v>0</v>
      </c>
      <c r="AF23" s="94">
        <v>1</v>
      </c>
      <c r="AG23" s="95">
        <v>1</v>
      </c>
      <c r="AH23" s="92">
        <v>1</v>
      </c>
      <c r="AI23" s="93">
        <v>0</v>
      </c>
      <c r="AJ23" s="94">
        <v>3</v>
      </c>
      <c r="AK23" s="93">
        <v>0</v>
      </c>
      <c r="AL23" s="94">
        <v>1</v>
      </c>
      <c r="AM23" s="93">
        <v>0</v>
      </c>
      <c r="AN23" s="94">
        <v>0</v>
      </c>
      <c r="AO23" s="93">
        <v>3</v>
      </c>
      <c r="AP23" s="94">
        <v>1</v>
      </c>
      <c r="AQ23" s="93">
        <v>1</v>
      </c>
      <c r="AR23" s="94">
        <v>1</v>
      </c>
      <c r="AS23" s="93">
        <v>0</v>
      </c>
      <c r="AT23" s="94">
        <v>1</v>
      </c>
      <c r="AU23" s="93">
        <v>1</v>
      </c>
      <c r="AV23" s="94">
        <v>1</v>
      </c>
      <c r="AW23" s="93">
        <v>2</v>
      </c>
      <c r="AX23" s="94">
        <v>2</v>
      </c>
      <c r="AY23" s="93">
        <v>1</v>
      </c>
      <c r="AZ23" s="94">
        <v>0</v>
      </c>
      <c r="BA23" s="93">
        <v>1</v>
      </c>
      <c r="BB23" s="94">
        <v>2</v>
      </c>
      <c r="BC23" s="93">
        <v>1</v>
      </c>
      <c r="BD23" s="94">
        <v>1</v>
      </c>
      <c r="BE23" s="93">
        <v>2</v>
      </c>
      <c r="BF23" s="94">
        <v>2</v>
      </c>
      <c r="BG23" s="93">
        <v>0</v>
      </c>
      <c r="BH23" s="94">
        <v>1</v>
      </c>
      <c r="BI23" s="93">
        <v>0</v>
      </c>
      <c r="BJ23" s="94">
        <v>1</v>
      </c>
      <c r="BK23" s="93">
        <v>1</v>
      </c>
      <c r="BL23" s="94">
        <v>2</v>
      </c>
      <c r="BM23" s="95">
        <v>1</v>
      </c>
      <c r="BN23" s="97">
        <v>1</v>
      </c>
      <c r="BO23" s="98">
        <v>1</v>
      </c>
      <c r="BP23" s="99">
        <v>1</v>
      </c>
      <c r="BQ23" s="98">
        <v>0</v>
      </c>
      <c r="BR23" s="99">
        <v>2</v>
      </c>
      <c r="BS23" s="98">
        <v>0</v>
      </c>
      <c r="BT23" s="99">
        <v>0</v>
      </c>
      <c r="BU23" s="98">
        <v>1</v>
      </c>
      <c r="BV23" s="99">
        <v>1</v>
      </c>
      <c r="BW23" s="98">
        <v>1</v>
      </c>
      <c r="BX23" s="99">
        <v>0</v>
      </c>
      <c r="BY23" s="98">
        <v>1</v>
      </c>
      <c r="BZ23" s="99">
        <v>0</v>
      </c>
      <c r="CA23" s="98">
        <v>1</v>
      </c>
      <c r="CB23" s="99">
        <v>1</v>
      </c>
      <c r="CC23" s="98">
        <v>2</v>
      </c>
      <c r="CD23" s="99">
        <v>1</v>
      </c>
      <c r="CE23" s="98">
        <v>0</v>
      </c>
      <c r="CF23" s="99">
        <v>1</v>
      </c>
      <c r="CG23" s="98">
        <v>1</v>
      </c>
      <c r="CH23" s="99">
        <v>1</v>
      </c>
      <c r="CI23" s="98">
        <v>1</v>
      </c>
      <c r="CJ23" s="99">
        <v>0</v>
      </c>
      <c r="CK23" s="98">
        <v>3</v>
      </c>
      <c r="CL23" s="99">
        <v>1</v>
      </c>
      <c r="CM23" s="98">
        <v>1</v>
      </c>
      <c r="CN23" s="99">
        <v>1</v>
      </c>
      <c r="CO23" s="98">
        <v>1</v>
      </c>
      <c r="CP23" s="99">
        <v>1</v>
      </c>
      <c r="CQ23" s="98">
        <v>2</v>
      </c>
      <c r="CR23" s="99">
        <v>0</v>
      </c>
      <c r="CS23" s="100">
        <v>1</v>
      </c>
      <c r="CT23" s="21"/>
      <c r="CU23" s="22"/>
      <c r="CV23" s="23"/>
      <c r="CW23" s="96">
        <v>1</v>
      </c>
      <c r="CX23" s="91">
        <v>0</v>
      </c>
      <c r="CY23" s="90">
        <v>1</v>
      </c>
      <c r="CZ23" s="91">
        <v>0</v>
      </c>
      <c r="DA23" s="90">
        <v>2</v>
      </c>
      <c r="DB23" s="91">
        <v>0</v>
      </c>
      <c r="DC23" s="90">
        <v>2</v>
      </c>
      <c r="DD23" s="91">
        <v>1</v>
      </c>
      <c r="DE23" s="90">
        <v>1</v>
      </c>
      <c r="DF23" s="91">
        <v>0</v>
      </c>
      <c r="DG23" s="90">
        <v>5</v>
      </c>
      <c r="DH23" s="91">
        <v>7</v>
      </c>
      <c r="DI23" s="90">
        <v>3</v>
      </c>
      <c r="DJ23" s="91">
        <v>0</v>
      </c>
      <c r="DK23" s="90">
        <v>1</v>
      </c>
      <c r="DL23" s="91">
        <v>5</v>
      </c>
      <c r="DM23" s="48"/>
      <c r="DN23" s="29"/>
      <c r="DO23" s="30"/>
      <c r="DP23" s="90">
        <v>2</v>
      </c>
      <c r="DQ23" s="91">
        <v>0</v>
      </c>
      <c r="DR23" s="90">
        <v>0</v>
      </c>
      <c r="DS23" s="91">
        <v>1</v>
      </c>
      <c r="DT23" s="90">
        <v>1</v>
      </c>
      <c r="DU23" s="91">
        <v>3</v>
      </c>
      <c r="DV23" s="90">
        <v>8</v>
      </c>
      <c r="DW23" s="91">
        <v>3</v>
      </c>
      <c r="DX23" s="27"/>
      <c r="DY23" s="25"/>
      <c r="DZ23" s="26"/>
      <c r="EA23" s="90">
        <v>0</v>
      </c>
      <c r="EB23" s="91">
        <v>1</v>
      </c>
      <c r="EC23" s="90">
        <v>1</v>
      </c>
      <c r="ED23" s="91">
        <v>2</v>
      </c>
      <c r="EE23" s="21"/>
      <c r="EF23" s="22"/>
      <c r="EG23" s="23"/>
      <c r="EH23" s="90">
        <v>2</v>
      </c>
      <c r="EI23" s="91">
        <v>0</v>
      </c>
      <c r="EJ23" s="21"/>
      <c r="EK23" s="22"/>
      <c r="EL23" s="23"/>
      <c r="EM23" s="90">
        <v>0</v>
      </c>
      <c r="EN23" s="91">
        <v>3</v>
      </c>
      <c r="EO23" s="153"/>
      <c r="EP23" s="21"/>
      <c r="EQ23" s="22"/>
      <c r="ER23" s="23"/>
    </row>
    <row r="24" spans="1:148" s="151" customFormat="1" ht="16.5" thickBot="1" x14ac:dyDescent="0.35">
      <c r="A24" s="42"/>
      <c r="B24" s="156">
        <f>IF($B$3="","",IF($B$3=B23,2,0)+IF($C$3=C23,2,0)+IF(OR(AND($B$3&gt;$C$3,B23 &gt; C23),AND($B$3 &lt; $C$3,B23&lt;C23),AND($B$3 = $C$3,B23 = C23)),5,0))</f>
        <v>7</v>
      </c>
      <c r="C24" s="161"/>
      <c r="D24" s="157">
        <f>IF($D$3="","",IF($D$3=D23,2,0)+IF($E$3=E23,2,0)+IF(OR(AND($D$3&gt;$E$3,D23 &gt; E23),AND($D$3 &lt; $E$3,D23&lt;E23),AND($D$3 = $E$3,D23 = E23)),5,0))</f>
        <v>5</v>
      </c>
      <c r="E24" s="157"/>
      <c r="F24" s="157" t="str">
        <f>IF($F$3="","",IF($F$3=F23,2,0)+IF($G$3=G23,2,0)+IF(OR(AND($F$3&gt;$G$3,F23 &gt; G23),AND($F$3 &lt; $G$3,F23&lt;G23),AND($F$3 = $G$3,F23 = G23)),5,0))</f>
        <v/>
      </c>
      <c r="G24" s="157"/>
      <c r="H24" s="157" t="str">
        <f>IF($H$3="","",IF($H$3=H23,2,0)+IF($I$3=I23,2,0)+IF(OR(AND($H$3&gt;$I$3,H23 &gt; I23),AND($H$3 &lt; $I$3,H23&lt;I23),AND($H$3 = $I$3,H23 = I23)),5,0))</f>
        <v/>
      </c>
      <c r="I24" s="157"/>
      <c r="J24" s="157" t="str">
        <f>IF($J$3="","",IF($J$3=J23,2,0)+IF($K$3=K23,2,0)+IF(OR(AND($J$3&gt;$K$3,J23 &gt; K23),AND($J$3 &lt; $K$3,J23&lt;K23),AND($J$3 = $K$3,J23 = K23)),5,0))</f>
        <v/>
      </c>
      <c r="K24" s="157"/>
      <c r="L24" s="157" t="str">
        <f>IF($L$3="","",IF($L$3=L23,2,0)+IF($M$3=M23,2,0)+IF(OR(AND($L$3&gt;$M$3,L23 &gt; M23),AND($L$3 &lt; $M$3,L23&lt;M23),AND($L$3 = $M$3,L23 = M23)),5,0))</f>
        <v/>
      </c>
      <c r="M24" s="157"/>
      <c r="N24" s="157" t="str">
        <f>IF($N$3="","",IF($N$3=N23,2,0)+IF($O$3=O23,2,0)+IF(OR(AND($N$3&gt;$O$3,N23 &gt; O23),AND($N$3 &lt; $O$3,N23&lt;O23),AND($N$3 = $O$3,N23 = O23)),5,0))</f>
        <v/>
      </c>
      <c r="O24" s="157"/>
      <c r="P24" s="157" t="str">
        <f>IF($P$3="","",IF($P$3=P23,2,0)+IF($Q$3=Q23,2,0)+IF(OR(AND($P$3&gt;$Q$3,P23 &gt; Q23),AND($P$3 &lt; $Q$3,P23&lt;Q23),AND($P$3 = $Q$3,P23 = Q23)),5,0))</f>
        <v/>
      </c>
      <c r="Q24" s="157"/>
      <c r="R24" s="157" t="str">
        <f>IF($R$3="","",IF($R$3=R23,2,0)+IF($S$3=S23,2,0)+IF(OR(AND($R$3&gt;$S$3,R23 &gt; S23),AND($R$3 &lt; $S$3,R23&lt;S23),AND($R$3 = $S$3,R23 = S23)),5,0))</f>
        <v/>
      </c>
      <c r="S24" s="157"/>
      <c r="T24" s="157" t="str">
        <f>IF($T$3="","",IF($T$3=T23,2,0)+IF($U$3=U23,2,0)+IF(OR(AND($T$3&gt;$U$3,T23 &gt; U23),AND($T$3 &lt; $U$3,T23&lt;U23),AND($T$3 = $U$3,T23 = U23)),5,0))</f>
        <v/>
      </c>
      <c r="U24" s="157"/>
      <c r="V24" s="157" t="str">
        <f>IF($V$3="","",IF($V$3=V23,2,0)+IF($W$3=W23,2,0)+IF(OR(AND($V$3&gt;$W$3,V23 &gt; W23),AND($V$3 &lt; $W$3,V23&lt;W23),AND($V$3 = $W$3,V23 = W23)),5,0))</f>
        <v/>
      </c>
      <c r="W24" s="157"/>
      <c r="X24" s="157" t="str">
        <f>IF($X$3="","",IF($X$3=X23,2,0)+IF($Y$3=Y23,2,0)+IF(OR(AND($X$3&gt;$Y$3,X23 &gt; Y23),AND($X$3 &lt; $Y$3,X23&lt;Y23),AND($X$3 = $Y$3,X23 = Y23)),5,0))</f>
        <v/>
      </c>
      <c r="Y24" s="157"/>
      <c r="Z24" s="157" t="str">
        <f>IF($Z$3="","",IF($Z$3=Z23,2,0)+IF($AA$3=AA23,2,0)+IF(OR(AND($Z$3&gt;$AA$3,Z23 &gt; AA23),AND($Z$3 &lt; $AA$3,Z23&lt;AA23),AND($Z$3 = $AA$3,Z23 = AA23)),5,0))</f>
        <v/>
      </c>
      <c r="AA24" s="157"/>
      <c r="AB24" s="157" t="str">
        <f>IF($AB$3="","",IF($AB$3=AB23,2,0)+IF($AC$3=AC23,2,0)+IF(OR(AND($AB$3&gt;$AC$3,AB23 &gt; AC23),AND($AB$3 &lt; $AC$3,AB23&lt;AC23),AND($AB$3 = $AC$3,AB23 = AC23)),5,0))</f>
        <v/>
      </c>
      <c r="AC24" s="157"/>
      <c r="AD24" s="157" t="str">
        <f>IF($AD$3="","",IF($AD$3=AD23,2,0)+IF($AE$3=AE23,2,0)+IF(OR(AND($AD$3&gt;$AE$3,AD23 &gt; AE23),AND($AD$3 &lt; $AE$3,AD23&lt;AE23),AND($AD$3 = $AE$3,AD23 = AE23)),5,0))</f>
        <v/>
      </c>
      <c r="AE24" s="157"/>
      <c r="AF24" s="157" t="str">
        <f>IF($AF$3="","",IF($AF$3=AF23,2,0)+IF($AG$3=AG23,2,0)+IF(OR(AND($AF$3&gt;$AG$3,AF23 &gt; AG23),AND($AF$3 &lt; $AG$3,AF23&lt;AG23),AND($AF$3 = $AG$3,AF23 = AG23)),5,0))</f>
        <v/>
      </c>
      <c r="AG24" s="158"/>
      <c r="AH24" s="160" t="str">
        <f>IF($AH$3="","",IF($AH$3=AH23,2,0)+IF($AI$3=AI23,2,0)+IF(OR(AND($AH$3&gt;$AI$3,AH23 &gt; AI23),AND($AH$3 &lt; $AI$3,AH23&lt;AI23),AND($AH$3 = $AI$3,AH23 = AI23)),5,0))</f>
        <v/>
      </c>
      <c r="AI24" s="157"/>
      <c r="AJ24" s="157" t="str">
        <f>IF($AJ$3="","",IF($AJ$3=AJ23,2,0)+IF($AK$3=AK23,2,0)+IF(OR(AND($AJ$3&gt;$AK$3,AJ23 &gt; AK23),AND($AJ$3 &lt; $AK$3,AJ23&lt;AK23),AND($AJ$3 = $AK$3,AJ23 = AK23)),5,0))</f>
        <v/>
      </c>
      <c r="AK24" s="157"/>
      <c r="AL24" s="157" t="str">
        <f>IF($AL$3="","",IF($AL$3=AL23,2,0)+IF($AM$3=AM23,2,0)+IF(OR(AND($AL$3&gt;$AM$3,AL23 &gt; AM23),AND($AL$3 &lt; $AM$3,AL23&lt;AM23),AND($AL$3 = $AM$3,AL23 = AM23)),5,0))</f>
        <v/>
      </c>
      <c r="AM24" s="157"/>
      <c r="AN24" s="157" t="str">
        <f>IF($AN$3="","",IF($AN$3=AN23,2,0)+IF($AO$3=AO23,2,0)+IF(OR(AND($AN$3&gt;$AO$3,AN23 &gt; AO23),AND($AN$3 &lt; $AO$3,AN23&lt;AO23),AND($AN$3 = $AO$3,AN23 = AO23)),5,0))</f>
        <v/>
      </c>
      <c r="AO24" s="157"/>
      <c r="AP24" s="157" t="str">
        <f>IF($AP$3="","",IF($AP$3=AP23,2,0)+IF($AQ$3=AQ23,2,0)+IF(OR(AND($AP$3&gt;$AQ$3,AP23 &gt; AQ23),AND($AP$3 &lt; $AQ$3,AP23&lt;AQ23),AND($AP$3 = $AQ$3,AP23 = AQ23)),5,0))</f>
        <v/>
      </c>
      <c r="AQ24" s="157"/>
      <c r="AR24" s="157" t="str">
        <f>IF($AR$3="","",IF($AR$3=AR23,2,0)+IF($AS$3=AS23,2,0)+IF(OR(AND($AR$3&gt;$AS$3,AR23 &gt; AS23),AND($AR$3 &lt; $AS$3,AR23&lt;AS23),AND($AR$3 = $AS$3,AR23 = AS23)),5,0))</f>
        <v/>
      </c>
      <c r="AS24" s="157"/>
      <c r="AT24" s="157" t="str">
        <f>IF($AT$3="","",IF($AT$3=AT23,2,0)+IF($AU$3=AU23,2,0)+IF(OR(AND($AT$3&gt;$AU$3,AT23 &gt; AU23),AND($AT$3 &lt; $AU$3,AT23&lt;AU23),AND($AT$3 = $AU$3,AT23 = AU23)),5,0))</f>
        <v/>
      </c>
      <c r="AU24" s="157"/>
      <c r="AV24" s="157" t="str">
        <f>IF($AV$3="","",IF($AV$3=AV23,2,0)+IF($AW$3=AW23,2,0)+IF(OR(AND($AV$3&gt;$AW$3,AV23 &gt; AW23),AND($AV$3 &lt; $AW$3,AV23&lt;AW23),AND($AV$3 = $AW$3,AV23 = AW23)),5,0))</f>
        <v/>
      </c>
      <c r="AW24" s="157"/>
      <c r="AX24" s="157" t="str">
        <f>IF($AX$3="","",IF($AX$3=AX23,2,0)+IF($AY$3=AY23,2,0)+IF(OR(AND($AX$3&gt;$AY$3,AX23 &gt; AY23),AND($AX$3 &lt; $AY$3,AX23&lt;AY23),AND($AX$3 = $AY$3,AX23 = AY23)),5,0))</f>
        <v/>
      </c>
      <c r="AY24" s="157"/>
      <c r="AZ24" s="157" t="str">
        <f>IF($AZ$3="","",IF($AZ$3=AZ23,2,0)+IF($BA$3=BA23,2,0)+IF(OR(AND($AZ$3&gt;$BA$3,AZ23 &gt; BA23),AND($AZ$3 &lt; $BA$3,AZ23&lt;BA23),AND($AZ$3 = $BA$3,AZ23 = BA23)),5,0))</f>
        <v/>
      </c>
      <c r="BA24" s="157"/>
      <c r="BB24" s="157" t="str">
        <f>IF($BB$3="","",IF($BB$3=BB23,2,0)+IF($BC$3=BC23,2,0)+IF(OR(AND($BB$3&gt;$BC$3,BB23 &gt; BC23),AND($BB$3 &lt; $BC$3,BB23&lt;BC23),AND($BB$3 = $BC$3,BB23 = BC23)),5,0))</f>
        <v/>
      </c>
      <c r="BC24" s="157"/>
      <c r="BD24" s="157" t="str">
        <f>IF($BD$3="","",IF($BD$3=BD23,2,0)+IF($BE$3=BE23,2,0)+IF(OR(AND($BD$3&gt;$BE$3,BD23 &gt; BE23),AND($BD$3 &lt; $BE$3,BD23&lt;BE23),AND($BD$3 = $BE$3,BD23 = BE23)),5,0))</f>
        <v/>
      </c>
      <c r="BE24" s="157"/>
      <c r="BF24" s="157" t="str">
        <f>IF($BF$3="","",IF($BF$3=BF23,2,0)+IF($BG$3=BG23,2,0)+IF(OR(AND($BF$3&gt;$BG$3,BF23 &gt; BG23),AND($BF$3 &lt; $BG$3,BF23&lt;BG23),AND($BF$3 = $BG$3,BF23 = BG23)),5,0))</f>
        <v/>
      </c>
      <c r="BG24" s="157"/>
      <c r="BH24" s="157" t="str">
        <f>IF($BH$3="","",IF($BH$3=BH23,2,0)+IF($BI$3=BI23,2,0)+IF(OR(AND($BH$3&gt;$BI$3,BH23 &gt; BI23),AND($BH$3 &lt; $BI$3,BH23&lt;BI23),AND($BH$3 = $BI$3,BH23 = BI23)),5,0))</f>
        <v/>
      </c>
      <c r="BI24" s="157"/>
      <c r="BJ24" s="157" t="str">
        <f>IF($BJ$3="","",IF($BJ$3=BJ23,2,0)+IF($BK$3=BK23,2,0)+IF(OR(AND($BJ$3&gt;$BK$3,BJ23 &gt; BK23),AND($BJ$3 &lt; $BK$3,BJ23&lt;BK23),AND($BJ$3 = $BK$3,BJ23 = BK23)),5,0))</f>
        <v/>
      </c>
      <c r="BK24" s="157"/>
      <c r="BL24" s="157" t="str">
        <f>IF($BL$3="","",IF($BL$3=BL23,2,0)+IF($BM$3=BM23,2,0)+IF(OR(AND($BL$3&gt;$BM$3,BL23 &gt; BM23),AND($BL$3 &lt; $BM$3,BL23&lt;BM23),AND($BL$3 = $BM$3,BL23 = BM23)),5,0))</f>
        <v/>
      </c>
      <c r="BM24" s="154"/>
      <c r="BN24" s="156" t="str">
        <f>IF($BN$3="","",IF($BN$3=BN23,2,0)+IF($BO$3=BO23,2,0)+IF(OR(AND($BN$3&gt;$BO$3,BN23 &gt; BO23),AND($BN$3 &lt; $BO$3,BN23&lt;BO23),AND($BN$3 = $BO$3,BN23 = BO23)),5,0))</f>
        <v/>
      </c>
      <c r="BO24" s="157"/>
      <c r="BP24" s="157" t="str">
        <f>IF($BP$3="","",IF($BP$3=BP23,2,0)+IF($BQ$3=BQ23,2,0)+IF(OR(AND($BP$3&gt;$BQ$3,BP23 &gt; BQ23),AND($BP$3 &lt; $BQ$3,BP23&lt;BQ23),AND($BP$3 = $BQ$3,BP23 = BQ23)),5,0))</f>
        <v/>
      </c>
      <c r="BQ24" s="157"/>
      <c r="BR24" s="157" t="str">
        <f>IF($BR$3="","",IF($BR$3=BR23,2,0)+IF($BS$3=BS23,2,0)+IF(OR(AND($BR$3&gt;$BS$3,BR23 &gt; BS23),AND($BR$3 &lt; $BS$3,BR23&lt;BS23),AND($BR$3 = $BS$3,BR23 = BS23)),5,0))</f>
        <v/>
      </c>
      <c r="BS24" s="157"/>
      <c r="BT24" s="157" t="str">
        <f>IF($BT$3="","",IF($BT$3=BT23,2,0)+IF($BU$3=BU23,2,0)+IF(OR(AND($BT$3&gt;$BU$3,BT23 &gt; BU23),AND($BT$3 &lt; $BU$3,BT23&lt;BU23),AND($BT$3 = $BU$3,BT23 = BU23)),5,0))</f>
        <v/>
      </c>
      <c r="BU24" s="157"/>
      <c r="BV24" s="157" t="str">
        <f>IF($BV$3="","",IF($BV$3=BV23,2,0)+IF($BW$3=BW23,2,0)+IF(OR(AND($BV$3&gt;$BW$3,BV23 &gt; BW23),AND($BV$3 &lt; $BW$3,BV23&lt;BW23),AND($BV$3 = $BW$3,BV23 = BW23)),5,0))</f>
        <v/>
      </c>
      <c r="BW24" s="157"/>
      <c r="BX24" s="157" t="str">
        <f>IF($BX$3="","",IF($BX$3=BX23,2,0)+IF($BY$3=BY23,2,0)+IF(OR(AND($BX$3&gt;$BY$3,BX23 &gt; BY23),AND($BX$3 &lt; $BY$3,BX23&lt;BY23),AND($BX$3 = $BY$3,BX23 = BY23)),5,0))</f>
        <v/>
      </c>
      <c r="BY24" s="157"/>
      <c r="BZ24" s="157" t="str">
        <f>IF($BZ$3="","",IF($BZ$3=BZ23,2,0)+IF($CA$3=CA23,2,0)+IF(OR(AND($BZ$3&gt;$CA$3,BZ23 &gt; CA23),AND($BZ$3 &lt; $CA$3,BZ23&lt;CA23),AND($BZ$3 = $CA$3,BZ23 = CA23)),5,0))</f>
        <v/>
      </c>
      <c r="CA24" s="157"/>
      <c r="CB24" s="157" t="str">
        <f>IF($CB$3="","",IF($CB$3=CB23,2,0)+IF($CC$3=CC23,2,0)+IF(OR(AND($CB$3&gt;$CC$3,CB23 &gt; CC23),AND($CB$3 &lt; $CC$3,CB23&lt;CC23),AND($CB$3 = $CC$3,CB23 = CC23)),5,0))</f>
        <v/>
      </c>
      <c r="CC24" s="157"/>
      <c r="CD24" s="157" t="str">
        <f>IF($CD$3="","",IF($CD$3=CD23,2,0)+IF($CE$3=CE23,2,0)+IF(OR(AND($CD$3&gt;$CE$3,CD23 &gt; CE23),AND($CD$3 &lt; $CE$3,CD23&lt;$CE$5),AND($CD$3 = $CE$3,CD23 = CE23)),5,0))</f>
        <v/>
      </c>
      <c r="CE24" s="157"/>
      <c r="CF24" s="157" t="str">
        <f>IF($CF$3="","",IF($CF$3=CF23,2,0)+IF($CG$3=CG23,2,0)+IF(OR(AND($CF$3&gt;$CG$3,CF23 &gt; CG23),AND($CF$3 &lt; $CG$3,CF23&lt;CG23),AND($CF$3 = $CG$3,CF23 = CG23)),5,0))</f>
        <v/>
      </c>
      <c r="CG24" s="157"/>
      <c r="CH24" s="157" t="str">
        <f>IF($CH$3="","",IF($CH$3=CH23,2,0)+IF($CI$3=CI23,2,0)+IF(OR(AND($CH$3&gt;$CI$3,CH23 &gt; CI23),AND($CH$3 &lt; $CI$3,CH23&lt;CI23),AND($CH$3 = $CI$3,CH23 = CI23)),5,0))</f>
        <v/>
      </c>
      <c r="CI24" s="157"/>
      <c r="CJ24" s="157" t="str">
        <f>IF($CJ$3="","",IF($CJ$3=CJ23,2,0)+IF($CK$3=CK23,2,0)+IF(OR(AND($CJ$3&gt;$CK$3,CJ23 &gt; CK23),AND($CJ$3 &lt; $CK$3,CJ23&lt;CK23),AND($CJ$3 = $CK$3,CJ23 = CK23)),5,0))</f>
        <v/>
      </c>
      <c r="CK24" s="157"/>
      <c r="CL24" s="157" t="str">
        <f>IF($CL$3="","",IF($CL$3=CL23,2,0)+IF($CM$3=CM23,2,0)+IF(OR(AND($CL$3&gt;$CM$3,CL23 &gt; CM23),AND($CL$3 &lt; $CM$3,CL23&lt;CM23),AND($CL$3 = $CM$3,CL23 = CM23)),5,0))</f>
        <v/>
      </c>
      <c r="CM24" s="157"/>
      <c r="CN24" s="157" t="str">
        <f>IF($CN$3="","",IF($CN$3=CN23,2,0)+IF($CO$3=CO23,2,0)+IF(OR(AND($CN$3&gt;$CO$3,CN23 &gt; CO23),AND($CN$3 &lt; $CO$3,CN23&lt;CO23),AND($CN$3 = $CO$3,CN23 = CO23)),5,0))</f>
        <v/>
      </c>
      <c r="CO24" s="157"/>
      <c r="CP24" s="157" t="str">
        <f>IF($CP$3="","",IF($CP$3=CP23,2,0)+IF($CQ$3=CQ23,2,0)+IF(OR(AND($CP$3&gt;$CQ$3,CP23 &gt; CQ23),AND($CP$3 &lt; $CQ$3,CP23&lt;CQ23),AND($CP$3 = $CQ$3,CP23 = CQ23)),5,0))</f>
        <v/>
      </c>
      <c r="CQ24" s="157"/>
      <c r="CR24" s="157" t="str">
        <f>IF($CR$3="","",IF($CR$3=CR23,2,0)+IF($CS$3=CS23,2,0)+IF(OR(AND($CR$3&gt;$CS$3,CR23 &gt; CS23),AND($CR$3 &lt; $CS$3,CR23&lt;CS23),AND($CR$3 = $CS$3,CR23 = CS23)),5,0))</f>
        <v/>
      </c>
      <c r="CS24" s="154"/>
      <c r="CT24" s="24">
        <f>SUM(B24:CS24)</f>
        <v>12</v>
      </c>
      <c r="CU24" s="12">
        <f>IF(AND(CW22=$CW$2,CW22&lt;&gt;""),2,0)+IF(AND(CX22=$CX$2,CX22&lt;&gt;""),2,0)+IF(AND(CY22=$CY$2,CY22&lt;&gt;""),2,0)+IF(AND(CZ22=$CZ$2,CZ22&lt;&gt;""),2,0)+IF(AND(DA22=$DA$2,DA22&lt;&gt;""),2,0)+IF(AND(DB22=$DB$2,DB22&lt;&gt;""),2,0)+IF(AND(DC22=$DC$2,DC22&lt;&gt;""),2,0)+IF(AND(DD22=$DD$2,DD22&lt;&gt;""),2,0)+IF(AND(DE22=$DE$2,DE22&lt;&gt;""),2,0)+IF(AND(DF22=$DF$2,DF22&lt;&gt;""),2,0)+IF(AND(DG22=$DG$2,DG22&lt;&gt;""),2,0)+IF(AND(DH22=$DH$2,DH22&lt;&gt;""),2,0)+IF(AND(DI22=$DI$2,DI22&lt;&gt;""),2,0)+IF(AND(DJ22=$DJ$2,DJ22&lt;&gt;""),2,0)+IF(AND(DK22=$DK$2,DK22&lt;&gt;""),2,0)+IF(AND(DL22=$DL$2,DL22&lt;&gt;""),2,0)</f>
        <v>0</v>
      </c>
      <c r="CV24" s="11">
        <f>CT24+CU24</f>
        <v>12</v>
      </c>
      <c r="CW24" s="156" t="str">
        <f>IF($CW$3="","",IF($CW$3=CW23,2,0)+IF($CX$3=CX23,2,0)+IF(OR(AND($CW$3&gt;$CX$3,CW23 &gt; CX23),AND($CW$3 &lt; $CX$3,CW23&lt;CX23),AND($CW$3 = $CX$3,CW23 = CX23)),5,0))</f>
        <v/>
      </c>
      <c r="CX24" s="157"/>
      <c r="CY24" s="157" t="str">
        <f>IF($CY$3="","",IF($CY$3=CY23,2,0)+IF($CZ$3=CZ23,2,0)+IF(OR(AND($CY$3&gt;$CZ$3,CY23 &gt; CZ23),AND($CY$3 &lt; $CZ$3,CY23&lt;CZ23),AND($CY$3 = $CZ$3,CY23 = CZ23)),5,0))</f>
        <v/>
      </c>
      <c r="CZ24" s="157"/>
      <c r="DA24" s="157" t="str">
        <f>IF($DA21="","",IF($DA$3=DA23,2,0)+IF($DB$3=DB23,2,0)+IF(OR(AND($DA$3&gt;$DB$3,DA23 &gt; DB23),AND($DA$3 &lt; $DB$3,DA23&lt;DB23),AND($DA$3 = $DB$3,DA23 = DB23)),5,0))</f>
        <v/>
      </c>
      <c r="DB24" s="157"/>
      <c r="DC24" s="157" t="str">
        <f>IF($DC$3="","",IF($DC$3=DC23,2,0)+IF($DD$3=DD23,2,0)+IF(OR(AND($DC$3&gt;$DD$3,DC23 &gt; DD23),AND($DC$3 &lt; $DD$3,DC23&lt;DD23),AND($DC$3 = $DD$3,DC23 = DD23)),5,0))</f>
        <v/>
      </c>
      <c r="DD24" s="157"/>
      <c r="DE24" s="157" t="str">
        <f>IF($DE$3="","",IF($DE$3=DE23,2,0)+IF($DF$3=DF23,2,0)+IF(OR(AND($DE$3&gt;$DF$3,DE23 &gt; DF23),AND($DE$3 &lt; $DF$3,DE23&lt;DF23),AND($DE$3 = $DF$3,DE23 = DF23)),5,0))</f>
        <v/>
      </c>
      <c r="DF24" s="157"/>
      <c r="DG24" s="157" t="str">
        <f>IF($DG$3="","",IF($DG$3=DG23,2,0)+IF($DH$3=DH23,2,0)+IF(OR(AND($DG$3&gt;$DH$3,DG23 &gt; DH23),AND($DG$3 &lt; $DH$3,DG23&lt;DH23),AND($DG$3 = $DH$3,DG23 = DH23)),5,0))</f>
        <v/>
      </c>
      <c r="DH24" s="157"/>
      <c r="DI24" s="157" t="str">
        <f>IF($DI$3="","",IF($DI$3=DI23,2,0)+IF($DJ$3=DJ23,2,0)+IF(OR(AND($DI$3&gt;$DJ$3,DI23 &gt; DJ23),AND($DI$3 &lt; $DJ$3,DI23&lt;DJ23),AND($DI$3 = $DJ$3,DI23 = DJ23)),5,0))</f>
        <v/>
      </c>
      <c r="DJ24" s="157"/>
      <c r="DK24" s="157" t="str">
        <f>IF($DK$3="","",IF($DK$3=DK23,2,0)+IF($DL$3=DL23,2,0)+IF(OR(AND($DK$3&gt;$DL$3,DK23 &gt; DL23),AND($DK$3 &lt; $DL$3,DK23&lt;DL23),AND($DK$3 = $DL$3,DK23 = DL23)),5,0))</f>
        <v/>
      </c>
      <c r="DL24" s="154"/>
      <c r="DM24" s="24">
        <f>SUM(CW24:DL24)</f>
        <v>0</v>
      </c>
      <c r="DN24" s="12">
        <f>IF(AND(DP22=$DP$2,DP22&lt;&gt;""),2,0)+IF(AND(DQ22=$DQ$2,DQ22&lt;&gt;""),2,0)+IF(AND(DR22=$DR$2,DR22&lt;&gt;""),2,0)+IF(AND(DS22=$DS$2,DS22&lt;&gt;""),2,0)+IF(AND(DT22=$DT$2,DT22&lt;&gt;""),2,0)+IF(AND(DU22=$DU$2,DU22&lt;&gt;""),2,0)+IF(AND(DV22=$DV$2,DV22&lt;&gt;""),2,0)+IF(AND(DW22=$DW$2,DW22&lt;&gt;""),2,0)</f>
        <v>0</v>
      </c>
      <c r="DO24" s="11">
        <f>CV24+DM24+DN24</f>
        <v>12</v>
      </c>
      <c r="DP24" s="159" t="str">
        <f>IF($DP$3="","",IF($DP$3=DP23,2,0)+IF($DQ$3=DQ23,2,0)+IF(OR(AND($DP$3&gt;$DQ$3,DP23 &gt; DQ23),AND($DP$3 &lt; $DQ$3,DP23&lt;DQ23),AND($DP$3 = $DQ$3,DP23 = DQ23)),5,0))</f>
        <v/>
      </c>
      <c r="DQ24" s="160"/>
      <c r="DR24" s="154" t="str">
        <f>IF($DR$3="","",IF($DR$3=DR23,2,0)+IF($DS$3=DS23,2,0)+IF(OR(AND($DR$3&gt;$DS$3,DR23 &gt; DS23),AND($DR$3 &lt; $DS$3,DR23&lt;DS23),AND($DR$3 = $DS$3,DR23 = DS23)),5,0))</f>
        <v/>
      </c>
      <c r="DS24" s="160"/>
      <c r="DT24" s="154" t="str">
        <f>IF($DT$3="","",IF($DT$3=DT23,2,0)+IF($DU$3=DU23,2,0)+IF(OR(AND($DT$3&gt;$DU$3,DT23 &gt; DU23),AND($DT$3 &lt; $DU$3,DT23&lt;DU23),AND($DT$3 = $DU$3,DT23 = DU23)),5,0))</f>
        <v/>
      </c>
      <c r="DU24" s="160"/>
      <c r="DV24" s="154" t="str">
        <f>IF($DV$3="","",IF($DV21=DV23,2,0)+IF($DW$3=DW23,2,0)+IF(OR(AND($DV$3&gt;$DW$3,DV23 &gt; DW23),AND($DV$3 &lt; $DW$3,DV23&lt;DW23),AND($DV$3 = $DW$3,DV23 = DW23)),5,0))</f>
        <v/>
      </c>
      <c r="DW24" s="155"/>
      <c r="DX24" s="24">
        <f>SUM(DP24:DW24)</f>
        <v>0</v>
      </c>
      <c r="DY24" s="12">
        <f>IF(AND(EA22=$EA$2,EA22&lt;&gt;""),3,0)+IF(AND(EB22=$EB$2,EB22&lt;&gt;""),3,0)+IF(AND(EC22=$EC$2,EC22&lt;&gt;""),3,0)+IF(AND(ED22=$ED$2,ED22&lt;&gt;""),3,0)</f>
        <v>0</v>
      </c>
      <c r="DZ24" s="11">
        <f>DO24+DX24+DY24</f>
        <v>12</v>
      </c>
      <c r="EA24" s="156" t="str">
        <f>IF($EA$3="","",IF($EA$3=EA23,2,0)+IF($EB$3=EB23,2,0)+IF(OR(AND($EA$3&gt;$EB$3,EA23 &gt; EB23),AND($EA$3 &lt; $EB$3,EA23&lt;EB23),AND($EA$3 = $EB$3,EA23 = EB23)),5,0))</f>
        <v/>
      </c>
      <c r="EB24" s="157"/>
      <c r="EC24" s="157" t="str">
        <f>IF($EC$3="","",IF($EC$3=EC23,2,0)+IF($ED$3=ED23,2,0)+IF(OR(AND($EC$3&gt;$ED$3,EC23 &gt; ED23),AND($EC$3 &lt; $ED$3,EC23&lt;ED23),AND($EC$3 = $ED$3,EC23 = ED23)),5,0))</f>
        <v/>
      </c>
      <c r="ED24" s="154"/>
      <c r="EE24" s="24">
        <f>SUM(EA24:ED24)</f>
        <v>0</v>
      </c>
      <c r="EF24" s="12">
        <f>IF(AND(EH22=$EH$2,EH22&lt;&gt;""),3,0)+IF(AND(EI22=$EI$2,EI22&lt;&gt;""),3,0)</f>
        <v>0</v>
      </c>
      <c r="EG24" s="11">
        <f>DZ24+EE24+EF24</f>
        <v>12</v>
      </c>
      <c r="EH24" s="156" t="str">
        <f>IF($EH$3="","",IF($EH$3=EH23,2,0)+IF($EI$3=EI23,2,0)+IF(OR(AND($EH$3&gt;$EI$3,EH23 &gt; EI23),AND($EH$3 &lt; $EI$3,EH23&lt;EI23),AND($EH$3 = $EI$3,EH23 = EI23)),5,0))</f>
        <v/>
      </c>
      <c r="EI24" s="154"/>
      <c r="EJ24" s="24">
        <f>SUM(EH24:EI24)</f>
        <v>0</v>
      </c>
      <c r="EK24" s="12">
        <f>IF(AND(EM22=$EM$2,EM22&lt;&gt;""),5,0)+IF(AND(EN22=$EN$2,EN22&lt;&gt;""),5,0)</f>
        <v>0</v>
      </c>
      <c r="EL24" s="11">
        <f>EG24+EJ24+EK24</f>
        <v>12</v>
      </c>
      <c r="EM24" s="156" t="str">
        <f>IF($EM$3="","",IF($EM$3=EM23,2,0)+IF($EN$3=EN23,2,0)+IF(OR(AND($EM$3&gt;$EN$3,EM23 &gt; EN23),AND($EM$3 &lt; $EN$3,EM23&lt;EN23),AND($EM$3 = $EN$3,EM23 = EN23)),5,0))</f>
        <v/>
      </c>
      <c r="EN24" s="158"/>
      <c r="EO24" s="152"/>
      <c r="EP24" s="8" t="str">
        <f>EM24</f>
        <v/>
      </c>
      <c r="EQ24" s="20">
        <f>IF(AND(EO22=$EO$2,EO22&lt;&gt;""),10,0)</f>
        <v>0</v>
      </c>
      <c r="ER24" s="11" t="e">
        <f>EL24+EP24+EQ24</f>
        <v>#VALUE!</v>
      </c>
    </row>
    <row r="25" spans="1:148" s="145" customFormat="1" ht="24" thickBot="1" x14ac:dyDescent="0.35">
      <c r="A25" s="2"/>
      <c r="B25" s="43"/>
      <c r="C25" s="44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  <c r="AH25" s="43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6"/>
      <c r="BN25" s="43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17"/>
      <c r="CU25" s="18"/>
      <c r="CV25" s="19"/>
      <c r="CW25" s="78" t="s">
        <v>10</v>
      </c>
      <c r="CX25" s="77" t="s">
        <v>11</v>
      </c>
      <c r="CY25" s="76" t="s">
        <v>15</v>
      </c>
      <c r="CZ25" s="77" t="s">
        <v>22</v>
      </c>
      <c r="DA25" s="76" t="s">
        <v>19</v>
      </c>
      <c r="DB25" s="77" t="s">
        <v>18</v>
      </c>
      <c r="DC25" s="76" t="s">
        <v>12</v>
      </c>
      <c r="DD25" s="77" t="s">
        <v>9</v>
      </c>
      <c r="DE25" s="76" t="s">
        <v>23</v>
      </c>
      <c r="DF25" s="77" t="s">
        <v>28</v>
      </c>
      <c r="DG25" s="76" t="s">
        <v>31</v>
      </c>
      <c r="DH25" s="77" t="s">
        <v>36</v>
      </c>
      <c r="DI25" s="76" t="s">
        <v>27</v>
      </c>
      <c r="DJ25" s="77" t="s">
        <v>24</v>
      </c>
      <c r="DK25" s="76" t="s">
        <v>37</v>
      </c>
      <c r="DL25" s="77" t="s">
        <v>33</v>
      </c>
      <c r="DM25" s="14"/>
      <c r="DN25" s="15"/>
      <c r="DO25" s="16"/>
      <c r="DP25" s="79" t="s">
        <v>23</v>
      </c>
      <c r="DQ25" s="80" t="s">
        <v>31</v>
      </c>
      <c r="DR25" s="79" t="s">
        <v>11</v>
      </c>
      <c r="DS25" s="80" t="s">
        <v>15</v>
      </c>
      <c r="DT25" s="81" t="s">
        <v>12</v>
      </c>
      <c r="DU25" s="80" t="s">
        <v>19</v>
      </c>
      <c r="DV25" s="79" t="s">
        <v>27</v>
      </c>
      <c r="DW25" s="80" t="s">
        <v>37</v>
      </c>
      <c r="DX25" s="7"/>
      <c r="DY25" s="9"/>
      <c r="DZ25" s="10"/>
      <c r="EA25" s="82" t="s">
        <v>15</v>
      </c>
      <c r="EB25" s="83" t="s">
        <v>23</v>
      </c>
      <c r="EC25" s="84" t="s">
        <v>12</v>
      </c>
      <c r="ED25" s="83" t="s">
        <v>27</v>
      </c>
      <c r="EE25" s="7"/>
      <c r="EF25" s="9"/>
      <c r="EG25" s="10"/>
      <c r="EH25" s="85" t="s">
        <v>15</v>
      </c>
      <c r="EI25" s="86" t="s">
        <v>27</v>
      </c>
      <c r="EJ25" s="7"/>
      <c r="EK25" s="9"/>
      <c r="EL25" s="10"/>
      <c r="EM25" s="87" t="s">
        <v>23</v>
      </c>
      <c r="EN25" s="88" t="s">
        <v>12</v>
      </c>
      <c r="EO25" s="89" t="s">
        <v>44</v>
      </c>
      <c r="EP25" s="7"/>
      <c r="EQ25" s="9"/>
      <c r="ER25" s="10"/>
    </row>
    <row r="26" spans="1:148" s="151" customFormat="1" ht="16.5" thickBot="1" x14ac:dyDescent="0.35">
      <c r="A26" s="146" t="s">
        <v>53</v>
      </c>
      <c r="B26" s="92">
        <v>1</v>
      </c>
      <c r="C26" s="93">
        <v>0</v>
      </c>
      <c r="D26" s="94">
        <v>1</v>
      </c>
      <c r="E26" s="93">
        <v>1</v>
      </c>
      <c r="F26" s="94">
        <v>2</v>
      </c>
      <c r="G26" s="93">
        <v>3</v>
      </c>
      <c r="H26" s="94">
        <v>1</v>
      </c>
      <c r="I26" s="93">
        <v>1</v>
      </c>
      <c r="J26" s="94">
        <v>3</v>
      </c>
      <c r="K26" s="93">
        <v>1</v>
      </c>
      <c r="L26" s="94">
        <v>1</v>
      </c>
      <c r="M26" s="93">
        <v>2</v>
      </c>
      <c r="N26" s="94">
        <v>2</v>
      </c>
      <c r="O26" s="93">
        <v>1</v>
      </c>
      <c r="P26" s="94">
        <v>1</v>
      </c>
      <c r="Q26" s="93">
        <v>2</v>
      </c>
      <c r="R26" s="94">
        <v>3</v>
      </c>
      <c r="S26" s="93">
        <v>1</v>
      </c>
      <c r="T26" s="94">
        <v>1</v>
      </c>
      <c r="U26" s="93">
        <v>2</v>
      </c>
      <c r="V26" s="94">
        <v>2</v>
      </c>
      <c r="W26" s="93">
        <v>1</v>
      </c>
      <c r="X26" s="94">
        <v>2</v>
      </c>
      <c r="Y26" s="93">
        <v>1</v>
      </c>
      <c r="Z26" s="94">
        <v>6</v>
      </c>
      <c r="AA26" s="93">
        <v>2</v>
      </c>
      <c r="AB26" s="94">
        <v>2</v>
      </c>
      <c r="AC26" s="93">
        <v>2</v>
      </c>
      <c r="AD26" s="94">
        <v>1</v>
      </c>
      <c r="AE26" s="93">
        <v>1</v>
      </c>
      <c r="AF26" s="94">
        <v>2</v>
      </c>
      <c r="AG26" s="95">
        <v>1</v>
      </c>
      <c r="AH26" s="92">
        <v>2</v>
      </c>
      <c r="AI26" s="93">
        <v>2</v>
      </c>
      <c r="AJ26" s="94">
        <v>3</v>
      </c>
      <c r="AK26" s="93">
        <v>1</v>
      </c>
      <c r="AL26" s="94">
        <v>2</v>
      </c>
      <c r="AM26" s="93">
        <v>1</v>
      </c>
      <c r="AN26" s="94">
        <v>2</v>
      </c>
      <c r="AO26" s="93">
        <v>3</v>
      </c>
      <c r="AP26" s="94">
        <v>3</v>
      </c>
      <c r="AQ26" s="93">
        <v>1</v>
      </c>
      <c r="AR26" s="94">
        <v>2</v>
      </c>
      <c r="AS26" s="93">
        <v>1</v>
      </c>
      <c r="AT26" s="94">
        <v>2</v>
      </c>
      <c r="AU26" s="93">
        <v>1</v>
      </c>
      <c r="AV26" s="94">
        <v>1</v>
      </c>
      <c r="AW26" s="93">
        <v>1</v>
      </c>
      <c r="AX26" s="94">
        <v>4</v>
      </c>
      <c r="AY26" s="93">
        <v>1</v>
      </c>
      <c r="AZ26" s="94">
        <v>2</v>
      </c>
      <c r="BA26" s="93">
        <v>2</v>
      </c>
      <c r="BB26" s="94">
        <v>3</v>
      </c>
      <c r="BC26" s="93">
        <v>1</v>
      </c>
      <c r="BD26" s="94">
        <v>2</v>
      </c>
      <c r="BE26" s="93">
        <v>3</v>
      </c>
      <c r="BF26" s="94">
        <v>3</v>
      </c>
      <c r="BG26" s="93">
        <v>2</v>
      </c>
      <c r="BH26" s="94">
        <v>3</v>
      </c>
      <c r="BI26" s="93">
        <v>1</v>
      </c>
      <c r="BJ26" s="94">
        <v>2</v>
      </c>
      <c r="BK26" s="93">
        <v>3</v>
      </c>
      <c r="BL26" s="94">
        <v>2</v>
      </c>
      <c r="BM26" s="95">
        <v>3</v>
      </c>
      <c r="BN26" s="97">
        <v>1</v>
      </c>
      <c r="BO26" s="98">
        <v>2</v>
      </c>
      <c r="BP26" s="99">
        <v>3</v>
      </c>
      <c r="BQ26" s="98">
        <v>2</v>
      </c>
      <c r="BR26" s="99">
        <v>3</v>
      </c>
      <c r="BS26" s="98">
        <v>2</v>
      </c>
      <c r="BT26" s="99">
        <v>2</v>
      </c>
      <c r="BU26" s="98">
        <v>3</v>
      </c>
      <c r="BV26" s="99">
        <v>2</v>
      </c>
      <c r="BW26" s="98">
        <v>2</v>
      </c>
      <c r="BX26" s="99">
        <v>1</v>
      </c>
      <c r="BY26" s="98">
        <v>2</v>
      </c>
      <c r="BZ26" s="99">
        <v>1</v>
      </c>
      <c r="CA26" s="98">
        <v>2</v>
      </c>
      <c r="CB26" s="99">
        <v>2</v>
      </c>
      <c r="CC26" s="98">
        <v>3</v>
      </c>
      <c r="CD26" s="99">
        <v>2</v>
      </c>
      <c r="CE26" s="98">
        <v>1</v>
      </c>
      <c r="CF26" s="99">
        <v>1</v>
      </c>
      <c r="CG26" s="98">
        <v>3</v>
      </c>
      <c r="CH26" s="99">
        <v>2</v>
      </c>
      <c r="CI26" s="98">
        <v>1</v>
      </c>
      <c r="CJ26" s="99">
        <v>2</v>
      </c>
      <c r="CK26" s="98">
        <v>4</v>
      </c>
      <c r="CL26" s="99">
        <v>1</v>
      </c>
      <c r="CM26" s="98">
        <v>3</v>
      </c>
      <c r="CN26" s="99">
        <v>2</v>
      </c>
      <c r="CO26" s="98">
        <v>3</v>
      </c>
      <c r="CP26" s="99">
        <v>2</v>
      </c>
      <c r="CQ26" s="98">
        <v>3</v>
      </c>
      <c r="CR26" s="99">
        <v>2</v>
      </c>
      <c r="CS26" s="100">
        <v>2</v>
      </c>
      <c r="CT26" s="21"/>
      <c r="CU26" s="22"/>
      <c r="CV26" s="23"/>
      <c r="CW26" s="96">
        <v>5</v>
      </c>
      <c r="CX26" s="91">
        <v>6</v>
      </c>
      <c r="CY26" s="90">
        <v>3</v>
      </c>
      <c r="CZ26" s="91">
        <v>2</v>
      </c>
      <c r="DA26" s="90">
        <v>3</v>
      </c>
      <c r="DB26" s="91">
        <v>1</v>
      </c>
      <c r="DC26" s="90">
        <v>3</v>
      </c>
      <c r="DD26" s="91">
        <v>1</v>
      </c>
      <c r="DE26" s="90">
        <v>4</v>
      </c>
      <c r="DF26" s="91">
        <v>1</v>
      </c>
      <c r="DG26" s="90">
        <v>3</v>
      </c>
      <c r="DH26" s="91">
        <v>1</v>
      </c>
      <c r="DI26" s="90">
        <v>3</v>
      </c>
      <c r="DJ26" s="91">
        <v>2</v>
      </c>
      <c r="DK26" s="90">
        <v>4</v>
      </c>
      <c r="DL26" s="91">
        <v>3</v>
      </c>
      <c r="DM26" s="48"/>
      <c r="DN26" s="29"/>
      <c r="DO26" s="30"/>
      <c r="DP26" s="90">
        <v>3</v>
      </c>
      <c r="DQ26" s="91">
        <v>2</v>
      </c>
      <c r="DR26" s="90">
        <v>3</v>
      </c>
      <c r="DS26" s="91">
        <v>4</v>
      </c>
      <c r="DT26" s="90">
        <v>7</v>
      </c>
      <c r="DU26" s="91">
        <v>6</v>
      </c>
      <c r="DV26" s="90">
        <v>3</v>
      </c>
      <c r="DW26" s="91">
        <v>1</v>
      </c>
      <c r="DX26" s="27"/>
      <c r="DY26" s="25"/>
      <c r="DZ26" s="26"/>
      <c r="EA26" s="90">
        <v>2</v>
      </c>
      <c r="EB26" s="91">
        <v>3</v>
      </c>
      <c r="EC26" s="90">
        <v>4</v>
      </c>
      <c r="ED26" s="91">
        <v>3</v>
      </c>
      <c r="EE26" s="21"/>
      <c r="EF26" s="22"/>
      <c r="EG26" s="23"/>
      <c r="EH26" s="90">
        <v>2</v>
      </c>
      <c r="EI26" s="91">
        <v>3</v>
      </c>
      <c r="EJ26" s="21"/>
      <c r="EK26" s="22"/>
      <c r="EL26" s="23"/>
      <c r="EM26" s="90">
        <v>3</v>
      </c>
      <c r="EN26" s="91">
        <v>2</v>
      </c>
      <c r="EO26" s="153"/>
      <c r="EP26" s="21"/>
      <c r="EQ26" s="22"/>
      <c r="ER26" s="23"/>
    </row>
    <row r="27" spans="1:148" s="151" customFormat="1" ht="16.5" thickBot="1" x14ac:dyDescent="0.35">
      <c r="A27" s="42"/>
      <c r="B27" s="156">
        <f>IF($B$3="","",IF($B$3=B26,2,0)+IF($C$3=C26,2,0)+IF(OR(AND($B$3&gt;$C$3,B26 &gt; C26),AND($B$3 &lt; $C$3,B26&lt;C26),AND($B$3 = $C$3,B26 = C26)),5,0))</f>
        <v>7</v>
      </c>
      <c r="C27" s="161"/>
      <c r="D27" s="157">
        <f>IF($D$3="","",IF($D$3=D26,2,0)+IF($E$3=E26,2,0)+IF(OR(AND($D$3&gt;$E$3,D26 &gt; E26),AND($D$3 &lt; $E$3,D26&lt;E26),AND($D$3 = $E$3,D26 = E26)),5,0))</f>
        <v>2</v>
      </c>
      <c r="E27" s="157"/>
      <c r="F27" s="157" t="str">
        <f>IF($F$3="","",IF($F$3=F26,2,0)+IF($G$3=G26,2,0)+IF(OR(AND($F$3&gt;$G$3,F26 &gt; G26),AND($F$3 &lt; $G$3,F26&lt;G26),AND($F$3 = $G$3,F26 = G26)),5,0))</f>
        <v/>
      </c>
      <c r="G27" s="157"/>
      <c r="H27" s="157" t="str">
        <f>IF($H$3="","",IF($H$3=H26,2,0)+IF($I$3=I26,2,0)+IF(OR(AND($H$3&gt;$I$3,H26 &gt; I26),AND($H$3 &lt; $I$3,H26&lt;I26),AND($H$3 = $I$3,H26 = I26)),5,0))</f>
        <v/>
      </c>
      <c r="I27" s="157"/>
      <c r="J27" s="157" t="str">
        <f>IF($J$3="","",IF($J$3=J26,2,0)+IF($K$3=K26,2,0)+IF(OR(AND($J$3&gt;$K$3,J26 &gt; K26),AND($J$3 &lt; $K$3,J26&lt;K26),AND($J$3 = $K$3,J26 = K26)),5,0))</f>
        <v/>
      </c>
      <c r="K27" s="157"/>
      <c r="L27" s="157" t="str">
        <f>IF($L$3="","",IF($L$3=L26,2,0)+IF($M$3=M26,2,0)+IF(OR(AND($L$3&gt;$M$3,L26 &gt; M26),AND($L$3 &lt; $M$3,L26&lt;M26),AND($L$3 = $M$3,L26 = M26)),5,0))</f>
        <v/>
      </c>
      <c r="M27" s="157"/>
      <c r="N27" s="157" t="str">
        <f>IF($N$3="","",IF($N$3=N26,2,0)+IF($O$3=O26,2,0)+IF(OR(AND($N$3&gt;$O$3,N26 &gt; O26),AND($N$3 &lt; $O$3,N26&lt;O26),AND($N$3 = $O$3,N26 = O26)),5,0))</f>
        <v/>
      </c>
      <c r="O27" s="157"/>
      <c r="P27" s="157" t="str">
        <f>IF($P$3="","",IF($P$3=P26,2,0)+IF($Q$3=Q26,2,0)+IF(OR(AND($P$3&gt;$Q$3,P26 &gt; Q26),AND($P$3 &lt; $Q$3,P26&lt;Q26),AND($P$3 = $Q$3,P26 = Q26)),5,0))</f>
        <v/>
      </c>
      <c r="Q27" s="157"/>
      <c r="R27" s="157" t="str">
        <f>IF($R$3="","",IF($R$3=R26,2,0)+IF($S$3=S26,2,0)+IF(OR(AND($R$3&gt;$S$3,R26 &gt; S26),AND($R$3 &lt; $S$3,R26&lt;S26),AND($R$3 = $S$3,R26 = S26)),5,0))</f>
        <v/>
      </c>
      <c r="S27" s="157"/>
      <c r="T27" s="157" t="str">
        <f>IF($T$3="","",IF($T$3=T26,2,0)+IF($U$3=U26,2,0)+IF(OR(AND($T$3&gt;$U$3,T26 &gt; U26),AND($T$3 &lt; $U$3,T26&lt;U26),AND($T$3 = $U$3,T26 = U26)),5,0))</f>
        <v/>
      </c>
      <c r="U27" s="157"/>
      <c r="V27" s="157" t="str">
        <f>IF($V$3="","",IF($V$3=V26,2,0)+IF($W$3=W26,2,0)+IF(OR(AND($V$3&gt;$W$3,V26 &gt; W26),AND($V$3 &lt; $W$3,V26&lt;W26),AND($V$3 = $W$3,V26 = W26)),5,0))</f>
        <v/>
      </c>
      <c r="W27" s="157"/>
      <c r="X27" s="157" t="str">
        <f>IF($X$3="","",IF($X$3=X26,2,0)+IF($Y$3=Y26,2,0)+IF(OR(AND($X$3&gt;$Y$3,X26 &gt; Y26),AND($X$3 &lt; $Y$3,X26&lt;Y26),AND($X$3 = $Y$3,X26 = Y26)),5,0))</f>
        <v/>
      </c>
      <c r="Y27" s="157"/>
      <c r="Z27" s="157" t="str">
        <f>IF($Z$3="","",IF($Z$3=Z26,2,0)+IF($AA$3=AA26,2,0)+IF(OR(AND($Z$3&gt;$AA$3,Z26 &gt; AA26),AND($Z$3 &lt; $AA$3,Z26&lt;AA26),AND($Z$3 = $AA$3,Z26 = AA26)),5,0))</f>
        <v/>
      </c>
      <c r="AA27" s="157"/>
      <c r="AB27" s="157" t="str">
        <f>IF($AB$3="","",IF($AB$3=AB26,2,0)+IF($AC$3=AC26,2,0)+IF(OR(AND($AB$3&gt;$AC$3,AB26 &gt; AC26),AND($AB$3 &lt; $AC$3,AB26&lt;AC26),AND($AB$3 = $AC$3,AB26 = AC26)),5,0))</f>
        <v/>
      </c>
      <c r="AC27" s="157"/>
      <c r="AD27" s="157" t="str">
        <f>IF($AD$3="","",IF($AD$3=AD26,2,0)+IF($AE$3=AE26,2,0)+IF(OR(AND($AD$3&gt;$AE$3,AD26 &gt; AE26),AND($AD$3 &lt; $AE$3,AD26&lt;AE26),AND($AD$3 = $AE$3,AD26 = AE26)),5,0))</f>
        <v/>
      </c>
      <c r="AE27" s="157"/>
      <c r="AF27" s="157" t="str">
        <f>IF($AF$3="","",IF($AF$3=AF26,2,0)+IF($AG$3=AG26,2,0)+IF(OR(AND($AF$3&gt;$AG$3,AF26 &gt; AG26),AND($AF$3 &lt; $AG$3,AF26&lt;AG26),AND($AF$3 = $AG$3,AF26 = AG26)),5,0))</f>
        <v/>
      </c>
      <c r="AG27" s="158"/>
      <c r="AH27" s="160" t="str">
        <f>IF($AH$3="","",IF($AH$3=AH26,2,0)+IF($AI$3=AI26,2,0)+IF(OR(AND($AH$3&gt;$AI$3,AH26 &gt; AI26),AND($AH$3 &lt; $AI$3,AH26&lt;AI26),AND($AH$3 = $AI$3,AH26 = AI26)),5,0))</f>
        <v/>
      </c>
      <c r="AI27" s="157"/>
      <c r="AJ27" s="157" t="str">
        <f>IF($AJ$3="","",IF($AJ$3=AJ26,2,0)+IF($AK$3=AK26,2,0)+IF(OR(AND($AJ$3&gt;$AK$3,AJ26 &gt; AK26),AND($AJ$3 &lt; $AK$3,AJ26&lt;AK26),AND($AJ$3 = $AK$3,AJ26 = AK26)),5,0))</f>
        <v/>
      </c>
      <c r="AK27" s="157"/>
      <c r="AL27" s="157" t="str">
        <f>IF($AL$3="","",IF($AL$3=AL26,2,0)+IF($AM$3=AM26,2,0)+IF(OR(AND($AL$3&gt;$AM$3,AL26 &gt; AM26),AND($AL$3 &lt; $AM$3,AL26&lt;AM26),AND($AL$3 = $AM$3,AL26 = AM26)),5,0))</f>
        <v/>
      </c>
      <c r="AM27" s="157"/>
      <c r="AN27" s="157" t="str">
        <f>IF($AN$3="","",IF($AN$3=AN26,2,0)+IF($AO$3=AO26,2,0)+IF(OR(AND($AN$3&gt;$AO$3,AN26 &gt; AO26),AND($AN$3 &lt; $AO$3,AN26&lt;AO26),AND($AN$3 = $AO$3,AN26 = AO26)),5,0))</f>
        <v/>
      </c>
      <c r="AO27" s="157"/>
      <c r="AP27" s="157" t="str">
        <f>IF($AP$3="","",IF($AP$3=AP26,2,0)+IF($AQ$3=AQ26,2,0)+IF(OR(AND($AP$3&gt;$AQ$3,AP26 &gt; AQ26),AND($AP$3 &lt; $AQ$3,AP26&lt;AQ26),AND($AP$3 = $AQ$3,AP26 = AQ26)),5,0))</f>
        <v/>
      </c>
      <c r="AQ27" s="157"/>
      <c r="AR27" s="157" t="str">
        <f>IF($AR$3="","",IF($AR$3=AR26,2,0)+IF($AS$3=AS26,2,0)+IF(OR(AND($AR$3&gt;$AS$3,AR26 &gt; AS26),AND($AR$3 &lt; $AS$3,AR26&lt;AS26),AND($AR$3 = $AS$3,AR26 = AS26)),5,0))</f>
        <v/>
      </c>
      <c r="AS27" s="157"/>
      <c r="AT27" s="157" t="str">
        <f>IF($AT$3="","",IF($AT$3=AT26,2,0)+IF($AU$3=AU26,2,0)+IF(OR(AND($AT$3&gt;$AU$3,AT26 &gt; AU26),AND($AT$3 &lt; $AU$3,AT26&lt;AU26),AND($AT$3 = $AU$3,AT26 = AU26)),5,0))</f>
        <v/>
      </c>
      <c r="AU27" s="157"/>
      <c r="AV27" s="157" t="str">
        <f>IF($AV$3="","",IF($AV$3=AV26,2,0)+IF($AW$3=AW26,2,0)+IF(OR(AND($AV$3&gt;$AW$3,AV26 &gt; AW26),AND($AV$3 &lt; $AW$3,AV26&lt;AW26),AND($AV$3 = $AW$3,AV26 = AW26)),5,0))</f>
        <v/>
      </c>
      <c r="AW27" s="157"/>
      <c r="AX27" s="157" t="str">
        <f>IF($AX$3="","",IF($AX$3=AX26,2,0)+IF($AY$3=AY26,2,0)+IF(OR(AND($AX$3&gt;$AY$3,AX26 &gt; AY26),AND($AX$3 &lt; $AY$3,AX26&lt;AY26),AND($AX$3 = $AY$3,AX26 = AY26)),5,0))</f>
        <v/>
      </c>
      <c r="AY27" s="157"/>
      <c r="AZ27" s="157" t="str">
        <f>IF($AZ$3="","",IF($AZ$3=AZ26,2,0)+IF($BA$3=BA26,2,0)+IF(OR(AND($AZ$3&gt;$BA$3,AZ26 &gt; BA26),AND($AZ$3 &lt; $BA$3,AZ26&lt;BA26),AND($AZ$3 = $BA$3,AZ26 = BA26)),5,0))</f>
        <v/>
      </c>
      <c r="BA27" s="157"/>
      <c r="BB27" s="157" t="str">
        <f>IF($BB$3="","",IF($BB$3=BB26,2,0)+IF($BC$3=BC26,2,0)+IF(OR(AND($BB$3&gt;$BC$3,BB26 &gt; BC26),AND($BB$3 &lt; $BC$3,BB26&lt;BC26),AND($BB$3 = $BC$3,BB26 = BC26)),5,0))</f>
        <v/>
      </c>
      <c r="BC27" s="157"/>
      <c r="BD27" s="157" t="str">
        <f>IF($BD$3="","",IF($BD$3=BD26,2,0)+IF($BE$3=BE26,2,0)+IF(OR(AND($BD$3&gt;$BE$3,BD26 &gt; BE26),AND($BD$3 &lt; $BE$3,BD26&lt;BE26),AND($BD$3 = $BE$3,BD26 = BE26)),5,0))</f>
        <v/>
      </c>
      <c r="BE27" s="157"/>
      <c r="BF27" s="157" t="str">
        <f>IF($BF$3="","",IF($BF$3=BF26,2,0)+IF($BG$3=BG26,2,0)+IF(OR(AND($BF$3&gt;$BG$3,BF26 &gt; BG26),AND($BF$3 &lt; $BG$3,BF26&lt;BG26),AND($BF$3 = $BG$3,BF26 = BG26)),5,0))</f>
        <v/>
      </c>
      <c r="BG27" s="157"/>
      <c r="BH27" s="157" t="str">
        <f>IF($BH$3="","",IF($BH$3=BH26,2,0)+IF($BI$3=BI26,2,0)+IF(OR(AND($BH$3&gt;$BI$3,BH26 &gt; BI26),AND($BH$3 &lt; $BI$3,BH26&lt;BI26),AND($BH$3 = $BI$3,BH26 = BI26)),5,0))</f>
        <v/>
      </c>
      <c r="BI27" s="157"/>
      <c r="BJ27" s="157" t="str">
        <f>IF($BJ$3="","",IF($BJ$3=BJ26,2,0)+IF($BK$3=BK26,2,0)+IF(OR(AND($BJ$3&gt;$BK$3,BJ26 &gt; BK26),AND($BJ$3 &lt; $BK$3,BJ26&lt;BK26),AND($BJ$3 = $BK$3,BJ26 = BK26)),5,0))</f>
        <v/>
      </c>
      <c r="BK27" s="157"/>
      <c r="BL27" s="157" t="str">
        <f>IF($BL$3="","",IF($BL$3=BL26,2,0)+IF($BM$3=BM26,2,0)+IF(OR(AND($BL$3&gt;$BM$3,BL26 &gt; BM26),AND($BL$3 &lt; $BM$3,BL26&lt;BM26),AND($BL$3 = $BM$3,BL26 = BM26)),5,0))</f>
        <v/>
      </c>
      <c r="BM27" s="154"/>
      <c r="BN27" s="156" t="str">
        <f>IF($BN$3="","",IF($BN$3=BN26,2,0)+IF($BO$3=BO26,2,0)+IF(OR(AND($BN$3&gt;$BO$3,BN26 &gt; BO26),AND($BN$3 &lt; $BO$3,BN26&lt;BO26),AND($BN$3 = $BO$3,BN26 = BO26)),5,0))</f>
        <v/>
      </c>
      <c r="BO27" s="157"/>
      <c r="BP27" s="157" t="str">
        <f>IF($BP$3="","",IF($BP$3=BP26,2,0)+IF($BQ$3=BQ26,2,0)+IF(OR(AND($BP$3&gt;$BQ$3,BP26 &gt; BQ26),AND($BP$3 &lt; $BQ$3,BP26&lt;BQ26),AND($BP$3 = $BQ$3,BP26 = BQ26)),5,0))</f>
        <v/>
      </c>
      <c r="BQ27" s="157"/>
      <c r="BR27" s="157" t="str">
        <f>IF($BR$3="","",IF($BR$3=BR26,2,0)+IF($BS$3=BS26,2,0)+IF(OR(AND($BR$3&gt;$BS$3,BR26 &gt; BS26),AND($BR$3 &lt; $BS$3,BR26&lt;BS26),AND($BR$3 = $BS$3,BR26 = BS26)),5,0))</f>
        <v/>
      </c>
      <c r="BS27" s="157"/>
      <c r="BT27" s="157" t="str">
        <f>IF($BT$3="","",IF($BT$3=BT26,2,0)+IF($BU$3=BU26,2,0)+IF(OR(AND($BT$3&gt;$BU$3,BT26 &gt; BU26),AND($BT$3 &lt; $BU$3,BT26&lt;BU26),AND($BT$3 = $BU$3,BT26 = BU26)),5,0))</f>
        <v/>
      </c>
      <c r="BU27" s="157"/>
      <c r="BV27" s="157" t="str">
        <f>IF($BV$3="","",IF($BV$3=BV26,2,0)+IF($BW$3=BW26,2,0)+IF(OR(AND($BV$3&gt;$BW$3,BV26 &gt; BW26),AND($BV$3 &lt; $BW$3,BV26&lt;BW26),AND($BV$3 = $BW$3,BV26 = BW26)),5,0))</f>
        <v/>
      </c>
      <c r="BW27" s="157"/>
      <c r="BX27" s="157" t="str">
        <f>IF($BX$3="","",IF($BX$3=BX26,2,0)+IF($BY$3=BY26,2,0)+IF(OR(AND($BX$3&gt;$BY$3,BX26 &gt; BY26),AND($BX$3 &lt; $BY$3,BX26&lt;BY26),AND($BX$3 = $BY$3,BX26 = BY26)),5,0))</f>
        <v/>
      </c>
      <c r="BY27" s="157"/>
      <c r="BZ27" s="157" t="str">
        <f>IF($BZ$3="","",IF($BZ$3=BZ26,2,0)+IF($CA$3=CA26,2,0)+IF(OR(AND($BZ$3&gt;$CA$3,BZ26 &gt; CA26),AND($BZ$3 &lt; $CA$3,BZ26&lt;CA26),AND($BZ$3 = $CA$3,BZ26 = CA26)),5,0))</f>
        <v/>
      </c>
      <c r="CA27" s="157"/>
      <c r="CB27" s="157" t="str">
        <f>IF($CB$3="","",IF($CB$3=CB26,2,0)+IF($CC$3=CC26,2,0)+IF(OR(AND($CB$3&gt;$CC$3,CB26 &gt; CC26),AND($CB$3 &lt; $CC$3,CB26&lt;CC26),AND($CB$3 = $CC$3,CB26 = CC26)),5,0))</f>
        <v/>
      </c>
      <c r="CC27" s="157"/>
      <c r="CD27" s="157" t="str">
        <f>IF($CD$3="","",IF($CD$3=CD26,2,0)+IF($CE$3=CE26,2,0)+IF(OR(AND($CD$3&gt;$CE$3,CD26 &gt; CE26),AND($CD$3 &lt; $CE$3,CD26&lt;$CE$5),AND($CD$3 = $CE$3,CD26 = CE26)),5,0))</f>
        <v/>
      </c>
      <c r="CE27" s="157"/>
      <c r="CF27" s="157" t="str">
        <f>IF($CF$3="","",IF($CF$3=CF26,2,0)+IF($CG$3=CG26,2,0)+IF(OR(AND($CF$3&gt;$CG$3,CF26 &gt; CG26),AND($CF$3 &lt; $CG$3,CF26&lt;CG26),AND($CF$3 = $CG$3,CF26 = CG26)),5,0))</f>
        <v/>
      </c>
      <c r="CG27" s="157"/>
      <c r="CH27" s="157" t="str">
        <f>IF($CH$3="","",IF($CH$3=CH26,2,0)+IF($CI$3=CI26,2,0)+IF(OR(AND($CH$3&gt;$CI$3,CH26 &gt; CI26),AND($CH$3 &lt; $CI$3,CH26&lt;CI26),AND($CH$3 = $CI$3,CH26 = CI26)),5,0))</f>
        <v/>
      </c>
      <c r="CI27" s="157"/>
      <c r="CJ27" s="157" t="str">
        <f>IF($CJ$3="","",IF($CJ$3=CJ26,2,0)+IF($CK$3=CK26,2,0)+IF(OR(AND($CJ$3&gt;$CK$3,CJ26 &gt; CK26),AND($CJ$3 &lt; $CK$3,CJ26&lt;CK26),AND($CJ$3 = $CK$3,CJ26 = CK26)),5,0))</f>
        <v/>
      </c>
      <c r="CK27" s="157"/>
      <c r="CL27" s="157" t="str">
        <f>IF($CL$3="","",IF($CL$3=CL26,2,0)+IF($CM$3=CM26,2,0)+IF(OR(AND($CL$3&gt;$CM$3,CL26 &gt; CM26),AND($CL$3 &lt; $CM$3,CL26&lt;CM26),AND($CL$3 = $CM$3,CL26 = CM26)),5,0))</f>
        <v/>
      </c>
      <c r="CM27" s="157"/>
      <c r="CN27" s="157" t="str">
        <f>IF($CN$3="","",IF($CN$3=CN26,2,0)+IF($CO$3=CO26,2,0)+IF(OR(AND($CN$3&gt;$CO$3,CN26 &gt; CO26),AND($CN$3 &lt; $CO$3,CN26&lt;CO26),AND($CN$3 = $CO$3,CN26 = CO26)),5,0))</f>
        <v/>
      </c>
      <c r="CO27" s="157"/>
      <c r="CP27" s="157" t="str">
        <f>IF($CP$3="","",IF($CP$3=CP26,2,0)+IF($CQ$3=CQ26,2,0)+IF(OR(AND($CP$3&gt;$CQ$3,CP26 &gt; CQ26),AND($CP$3 &lt; $CQ$3,CP26&lt;CQ26),AND($CP$3 = $CQ$3,CP26 = CQ26)),5,0))</f>
        <v/>
      </c>
      <c r="CQ27" s="157"/>
      <c r="CR27" s="157" t="str">
        <f>IF($CR$3="","",IF($CR$3=CR26,2,0)+IF($CS$3=CS26,2,0)+IF(OR(AND($CR$3&gt;$CS$3,CR26 &gt; CS26),AND($CR$3 &lt; $CS$3,CR26&lt;CS26),AND($CR$3 = $CS$3,CR26 = CS26)),5,0))</f>
        <v/>
      </c>
      <c r="CS27" s="154"/>
      <c r="CT27" s="24">
        <f>SUM(B27:CS27)</f>
        <v>9</v>
      </c>
      <c r="CU27" s="12">
        <f>IF(AND(CW25=$CW$2,CW25&lt;&gt;""),2,0)+IF(AND(CX25=$CX$2,CX25&lt;&gt;""),2,0)+IF(AND(CY25=$CY$2,CY25&lt;&gt;""),2,0)+IF(AND(CZ25=$CZ$2,CZ25&lt;&gt;""),2,0)+IF(AND(DA25=$DA$2,DA25&lt;&gt;""),2,0)+IF(AND(DB25=$DB$2,DB25&lt;&gt;""),2,0)+IF(AND(DC25=$DC$2,DC25&lt;&gt;""),2,0)+IF(AND(DD25=$DD$2,DD25&lt;&gt;""),2,0)+IF(AND(DE25=$DE$2,DE25&lt;&gt;""),2,0)+IF(AND(DF25=$DF$2,DF25&lt;&gt;""),2,0)+IF(AND(DG25=$DG$2,DG25&lt;&gt;""),2,0)+IF(AND(DH25=$DH$2,DH25&lt;&gt;""),2,0)+IF(AND(DI25=$DI$2,DI25&lt;&gt;""),2,0)+IF(AND(DJ25=$DJ$2,DJ25&lt;&gt;""),2,0)+IF(AND(DK25=$DK$2,DK25&lt;&gt;""),2,0)+IF(AND(DL25=$DL$2,DL25&lt;&gt;""),2,0)</f>
        <v>0</v>
      </c>
      <c r="CV27" s="11">
        <f>CT27+CU27</f>
        <v>9</v>
      </c>
      <c r="CW27" s="156" t="str">
        <f>IF($CW$3="","",IF($CW$3=CW26,2,0)+IF($CX$3=CX26,2,0)+IF(OR(AND($CW$3&gt;$CX$3,CW26 &gt; CX26),AND($CW$3 &lt; $CX$3,CW26&lt;CX26),AND($CW$3 = $CX$3,CW26 = CX26)),5,0))</f>
        <v/>
      </c>
      <c r="CX27" s="157"/>
      <c r="CY27" s="157" t="str">
        <f>IF($CY$3="","",IF($CY$3=CY26,2,0)+IF($CZ$3=CZ26,2,0)+IF(OR(AND($CY$3&gt;$CZ$3,CY26 &gt; CZ26),AND($CY$3 &lt; $CZ$3,CY26&lt;CZ26),AND($CY$3 = $CZ$3,CY26 = CZ26)),5,0))</f>
        <v/>
      </c>
      <c r="CZ27" s="157"/>
      <c r="DA27" s="157" t="str">
        <f>IF($DA24="","",IF($DA$3=DA26,2,0)+IF($DB$3=DB26,2,0)+IF(OR(AND($DA$3&gt;$DB$3,DA26 &gt; DB26),AND($DA$3 &lt; $DB$3,DA26&lt;DB26),AND($DA$3 = $DB$3,DA26 = DB26)),5,0))</f>
        <v/>
      </c>
      <c r="DB27" s="157"/>
      <c r="DC27" s="157" t="str">
        <f>IF($DC$3="","",IF($DC$3=DC26,2,0)+IF($DD$3=DD26,2,0)+IF(OR(AND($DC$3&gt;$DD$3,DC26 &gt; DD26),AND($DC$3 &lt; $DD$3,DC26&lt;DD26),AND($DC$3 = $DD$3,DC26 = DD26)),5,0))</f>
        <v/>
      </c>
      <c r="DD27" s="157"/>
      <c r="DE27" s="157" t="str">
        <f>IF($DE$3="","",IF($DE$3=DE26,2,0)+IF($DF$3=DF26,2,0)+IF(OR(AND($DE$3&gt;$DF$3,DE26 &gt; DF26),AND($DE$3 &lt; $DF$3,DE26&lt;DF26),AND($DE$3 = $DF$3,DE26 = DF26)),5,0))</f>
        <v/>
      </c>
      <c r="DF27" s="157"/>
      <c r="DG27" s="157" t="str">
        <f>IF($DG$3="","",IF($DG$3=DG26,2,0)+IF($DH$3=DH26,2,0)+IF(OR(AND($DG$3&gt;$DH$3,DG26 &gt; DH26),AND($DG$3 &lt; $DH$3,DG26&lt;DH26),AND($DG$3 = $DH$3,DG26 = DH26)),5,0))</f>
        <v/>
      </c>
      <c r="DH27" s="157"/>
      <c r="DI27" s="157" t="str">
        <f>IF($DI$3="","",IF($DI$3=DI26,2,0)+IF($DJ$3=DJ26,2,0)+IF(OR(AND($DI$3&gt;$DJ$3,DI26 &gt; DJ26),AND($DI$3 &lt; $DJ$3,DI26&lt;DJ26),AND($DI$3 = $DJ$3,DI26 = DJ26)),5,0))</f>
        <v/>
      </c>
      <c r="DJ27" s="157"/>
      <c r="DK27" s="157" t="str">
        <f>IF($DK$3="","",IF($DK$3=DK26,2,0)+IF($DL$3=DL26,2,0)+IF(OR(AND($DK$3&gt;$DL$3,DK26 &gt; DL26),AND($DK$3 &lt; $DL$3,DK26&lt;DL26),AND($DK$3 = $DL$3,DK26 = DL26)),5,0))</f>
        <v/>
      </c>
      <c r="DL27" s="154"/>
      <c r="DM27" s="24">
        <f>SUM(CW27:DL27)</f>
        <v>0</v>
      </c>
      <c r="DN27" s="12">
        <f>IF(AND(DP25=$DP$2,DP25&lt;&gt;""),2,0)+IF(AND(DQ25=$DQ$2,DQ25&lt;&gt;""),2,0)+IF(AND(DR25=$DR$2,DR25&lt;&gt;""),2,0)+IF(AND(DS25=$DS$2,DS25&lt;&gt;""),2,0)+IF(AND(DT25=$DT$2,DT25&lt;&gt;""),2,0)+IF(AND(DU25=$DU$2,DU25&lt;&gt;""),2,0)+IF(AND(DV25=$DV$2,DV25&lt;&gt;""),2,0)+IF(AND(DW25=$DW$2,DW25&lt;&gt;""),2,0)</f>
        <v>0</v>
      </c>
      <c r="DO27" s="11">
        <f>CV27+DM27+DN27</f>
        <v>9</v>
      </c>
      <c r="DP27" s="159" t="str">
        <f>IF($DP$3="","",IF($DP$3=DP26,2,0)+IF($DQ$3=DQ26,2,0)+IF(OR(AND($DP$3&gt;$DQ$3,DP26 &gt; DQ26),AND($DP$3 &lt; $DQ$3,DP26&lt;DQ26),AND($DP$3 = $DQ$3,DP26 = DQ26)),5,0))</f>
        <v/>
      </c>
      <c r="DQ27" s="160"/>
      <c r="DR27" s="154" t="str">
        <f>IF($DR$3="","",IF($DR$3=DR26,2,0)+IF($DS$3=DS26,2,0)+IF(OR(AND($DR$3&gt;$DS$3,DR26 &gt; DS26),AND($DR$3 &lt; $DS$3,DR26&lt;DS26),AND($DR$3 = $DS$3,DR26 = DS26)),5,0))</f>
        <v/>
      </c>
      <c r="DS27" s="160"/>
      <c r="DT27" s="154" t="str">
        <f>IF($DT$3="","",IF($DT$3=DT26,2,0)+IF($DU$3=DU26,2,0)+IF(OR(AND($DT$3&gt;$DU$3,DT26 &gt; DU26),AND($DT$3 &lt; $DU$3,DT26&lt;DU26),AND($DT$3 = $DU$3,DT26 = DU26)),5,0))</f>
        <v/>
      </c>
      <c r="DU27" s="160"/>
      <c r="DV27" s="154" t="str">
        <f>IF($DV$3="","",IF($DV24=DV26,2,0)+IF($DW$3=DW26,2,0)+IF(OR(AND($DV$3&gt;$DW$3,DV26 &gt; DW26),AND($DV$3 &lt; $DW$3,DV26&lt;DW26),AND($DV$3 = $DW$3,DV26 = DW26)),5,0))</f>
        <v/>
      </c>
      <c r="DW27" s="155"/>
      <c r="DX27" s="24">
        <f>SUM(DP27:DW27)</f>
        <v>0</v>
      </c>
      <c r="DY27" s="12">
        <f>IF(AND(EA25=$EA$2,EA25&lt;&gt;""),3,0)+IF(AND(EB25=$EB$2,EB25&lt;&gt;""),3,0)+IF(AND(EC25=$EC$2,EC25&lt;&gt;""),3,0)+IF(AND(ED25=$ED$2,ED25&lt;&gt;""),3,0)</f>
        <v>0</v>
      </c>
      <c r="DZ27" s="11">
        <f>DO27+DX27+DY27</f>
        <v>9</v>
      </c>
      <c r="EA27" s="156" t="str">
        <f>IF($EA$3="","",IF($EA$3=EA26,2,0)+IF($EB$3=EB26,2,0)+IF(OR(AND($EA$3&gt;$EB$3,EA26 &gt; EB26),AND($EA$3 &lt; $EB$3,EA26&lt;EB26),AND($EA$3 = $EB$3,EA26 = EB26)),5,0))</f>
        <v/>
      </c>
      <c r="EB27" s="157"/>
      <c r="EC27" s="157" t="str">
        <f>IF($EC$3="","",IF($EC$3=EC26,2,0)+IF($ED$3=ED26,2,0)+IF(OR(AND($EC$3&gt;$ED$3,EC26 &gt; ED26),AND($EC$3 &lt; $ED$3,EC26&lt;ED26),AND($EC$3 = $ED$3,EC26 = ED26)),5,0))</f>
        <v/>
      </c>
      <c r="ED27" s="154"/>
      <c r="EE27" s="24">
        <f>SUM(EA27:ED27)</f>
        <v>0</v>
      </c>
      <c r="EF27" s="12">
        <f>IF(AND(EH25=$EH$2,EH25&lt;&gt;""),3,0)+IF(AND(EI25=$EI$2,EI25&lt;&gt;""),3,0)</f>
        <v>0</v>
      </c>
      <c r="EG27" s="11">
        <f>DZ27+EE27+EF27</f>
        <v>9</v>
      </c>
      <c r="EH27" s="156" t="str">
        <f>IF($EH$3="","",IF($EH$3=EH26,2,0)+IF($EI$3=EI26,2,0)+IF(OR(AND($EH$3&gt;$EI$3,EH26 &gt; EI26),AND($EH$3 &lt; $EI$3,EH26&lt;EI26),AND($EH$3 = $EI$3,EH26 = EI26)),5,0))</f>
        <v/>
      </c>
      <c r="EI27" s="154"/>
      <c r="EJ27" s="24">
        <f>SUM(EH27:EI27)</f>
        <v>0</v>
      </c>
      <c r="EK27" s="12">
        <f>IF(AND(EM25=$EM$2,EM25&lt;&gt;""),5,0)+IF(AND(EN25=$EN$2,EN25&lt;&gt;""),5,0)</f>
        <v>0</v>
      </c>
      <c r="EL27" s="11">
        <f>EG27+EJ27+EK27</f>
        <v>9</v>
      </c>
      <c r="EM27" s="156" t="str">
        <f>IF($EM$3="","",IF($EM$3=EM26,2,0)+IF($EN$3=EN26,2,0)+IF(OR(AND($EM$3&gt;$EN$3,EM26 &gt; EN26),AND($EM$3 &lt; $EN$3,EM26&lt;EN26),AND($EM$3 = $EN$3,EM26 = EN26)),5,0))</f>
        <v/>
      </c>
      <c r="EN27" s="158"/>
      <c r="EO27" s="152"/>
      <c r="EP27" s="8" t="str">
        <f>EM27</f>
        <v/>
      </c>
      <c r="EQ27" s="20">
        <f>IF(AND(EO25=$EO$2,EO25&lt;&gt;""),10,0)</f>
        <v>0</v>
      </c>
      <c r="ER27" s="11" t="e">
        <f>EL27+EP27+EQ27</f>
        <v>#VALUE!</v>
      </c>
    </row>
    <row r="28" spans="1:148" s="145" customFormat="1" ht="24" thickBot="1" x14ac:dyDescent="0.35">
      <c r="A28" s="2"/>
      <c r="B28" s="43"/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6"/>
      <c r="AH28" s="43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6"/>
      <c r="BN28" s="43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17"/>
      <c r="CU28" s="18"/>
      <c r="CV28" s="19"/>
      <c r="CW28" s="78" t="s">
        <v>10</v>
      </c>
      <c r="CX28" s="77" t="s">
        <v>11</v>
      </c>
      <c r="CY28" s="76" t="s">
        <v>15</v>
      </c>
      <c r="CZ28" s="77" t="s">
        <v>20</v>
      </c>
      <c r="DA28" s="76" t="s">
        <v>19</v>
      </c>
      <c r="DB28" s="77" t="s">
        <v>17</v>
      </c>
      <c r="DC28" s="76" t="s">
        <v>12</v>
      </c>
      <c r="DD28" s="77" t="s">
        <v>7</v>
      </c>
      <c r="DE28" s="76" t="s">
        <v>23</v>
      </c>
      <c r="DF28" s="77" t="s">
        <v>28</v>
      </c>
      <c r="DG28" s="76" t="s">
        <v>31</v>
      </c>
      <c r="DH28" s="77" t="s">
        <v>35</v>
      </c>
      <c r="DI28" s="76" t="s">
        <v>27</v>
      </c>
      <c r="DJ28" s="77" t="s">
        <v>24</v>
      </c>
      <c r="DK28" s="76" t="s">
        <v>37</v>
      </c>
      <c r="DL28" s="77" t="s">
        <v>34</v>
      </c>
      <c r="DM28" s="14"/>
      <c r="DN28" s="15"/>
      <c r="DO28" s="16"/>
      <c r="DP28" s="79" t="s">
        <v>23</v>
      </c>
      <c r="DQ28" s="80" t="s">
        <v>31</v>
      </c>
      <c r="DR28" s="79" t="s">
        <v>10</v>
      </c>
      <c r="DS28" s="80" t="s">
        <v>15</v>
      </c>
      <c r="DT28" s="81" t="s">
        <v>12</v>
      </c>
      <c r="DU28" s="80" t="s">
        <v>19</v>
      </c>
      <c r="DV28" s="79" t="s">
        <v>27</v>
      </c>
      <c r="DW28" s="80" t="s">
        <v>37</v>
      </c>
      <c r="DX28" s="7"/>
      <c r="DY28" s="9"/>
      <c r="DZ28" s="10"/>
      <c r="EA28" s="82" t="s">
        <v>10</v>
      </c>
      <c r="EB28" s="83" t="s">
        <v>23</v>
      </c>
      <c r="EC28" s="84" t="s">
        <v>12</v>
      </c>
      <c r="ED28" s="83" t="s">
        <v>27</v>
      </c>
      <c r="EE28" s="7"/>
      <c r="EF28" s="9"/>
      <c r="EG28" s="10"/>
      <c r="EH28" s="85" t="s">
        <v>10</v>
      </c>
      <c r="EI28" s="86" t="s">
        <v>12</v>
      </c>
      <c r="EJ28" s="7"/>
      <c r="EK28" s="9"/>
      <c r="EL28" s="10"/>
      <c r="EM28" s="87" t="s">
        <v>23</v>
      </c>
      <c r="EN28" s="88" t="s">
        <v>27</v>
      </c>
      <c r="EO28" s="89" t="s">
        <v>46</v>
      </c>
      <c r="EP28" s="7"/>
      <c r="EQ28" s="9"/>
      <c r="ER28" s="10"/>
    </row>
    <row r="29" spans="1:148" s="151" customFormat="1" ht="16.5" thickBot="1" x14ac:dyDescent="0.35">
      <c r="A29" s="146" t="s">
        <v>55</v>
      </c>
      <c r="B29" s="92">
        <v>2</v>
      </c>
      <c r="C29" s="93">
        <v>0</v>
      </c>
      <c r="D29" s="94">
        <v>0</v>
      </c>
      <c r="E29" s="93">
        <v>2</v>
      </c>
      <c r="F29" s="94">
        <v>0</v>
      </c>
      <c r="G29" s="93">
        <v>1</v>
      </c>
      <c r="H29" s="94">
        <v>1</v>
      </c>
      <c r="I29" s="93">
        <v>1</v>
      </c>
      <c r="J29" s="94">
        <v>1</v>
      </c>
      <c r="K29" s="93">
        <v>1</v>
      </c>
      <c r="L29" s="94">
        <v>1</v>
      </c>
      <c r="M29" s="93">
        <v>0</v>
      </c>
      <c r="N29" s="94">
        <v>2</v>
      </c>
      <c r="O29" s="93">
        <v>1</v>
      </c>
      <c r="P29" s="94">
        <v>2</v>
      </c>
      <c r="Q29" s="93">
        <v>2</v>
      </c>
      <c r="R29" s="94">
        <v>2</v>
      </c>
      <c r="S29" s="93">
        <v>1</v>
      </c>
      <c r="T29" s="94">
        <v>1</v>
      </c>
      <c r="U29" s="93">
        <v>1</v>
      </c>
      <c r="V29" s="94">
        <v>2</v>
      </c>
      <c r="W29" s="93">
        <v>0</v>
      </c>
      <c r="X29" s="94">
        <v>1</v>
      </c>
      <c r="Y29" s="93">
        <v>0</v>
      </c>
      <c r="Z29" s="94">
        <v>3</v>
      </c>
      <c r="AA29" s="93">
        <v>1</v>
      </c>
      <c r="AB29" s="94">
        <v>1</v>
      </c>
      <c r="AC29" s="93">
        <v>2</v>
      </c>
      <c r="AD29" s="94">
        <v>1</v>
      </c>
      <c r="AE29" s="93">
        <v>1</v>
      </c>
      <c r="AF29" s="94">
        <v>2</v>
      </c>
      <c r="AG29" s="95">
        <v>1</v>
      </c>
      <c r="AH29" s="92">
        <v>1</v>
      </c>
      <c r="AI29" s="93">
        <v>0</v>
      </c>
      <c r="AJ29" s="94">
        <v>1</v>
      </c>
      <c r="AK29" s="93">
        <v>0</v>
      </c>
      <c r="AL29" s="94">
        <v>2</v>
      </c>
      <c r="AM29" s="93">
        <v>1</v>
      </c>
      <c r="AN29" s="94">
        <v>0</v>
      </c>
      <c r="AO29" s="93">
        <v>2</v>
      </c>
      <c r="AP29" s="94">
        <v>1</v>
      </c>
      <c r="AQ29" s="93">
        <v>0</v>
      </c>
      <c r="AR29" s="94">
        <v>1</v>
      </c>
      <c r="AS29" s="93">
        <v>0</v>
      </c>
      <c r="AT29" s="94">
        <v>1</v>
      </c>
      <c r="AU29" s="93">
        <v>1</v>
      </c>
      <c r="AV29" s="94">
        <v>0</v>
      </c>
      <c r="AW29" s="93">
        <v>1</v>
      </c>
      <c r="AX29" s="94">
        <v>2</v>
      </c>
      <c r="AY29" s="93">
        <v>1</v>
      </c>
      <c r="AZ29" s="94">
        <v>0</v>
      </c>
      <c r="BA29" s="93">
        <v>1</v>
      </c>
      <c r="BB29" s="94">
        <v>1</v>
      </c>
      <c r="BC29" s="93">
        <v>0</v>
      </c>
      <c r="BD29" s="94">
        <v>1</v>
      </c>
      <c r="BE29" s="93">
        <v>2</v>
      </c>
      <c r="BF29" s="94">
        <v>2</v>
      </c>
      <c r="BG29" s="93">
        <v>0</v>
      </c>
      <c r="BH29" s="94">
        <v>1</v>
      </c>
      <c r="BI29" s="93">
        <v>0</v>
      </c>
      <c r="BJ29" s="94">
        <v>0</v>
      </c>
      <c r="BK29" s="93">
        <v>0</v>
      </c>
      <c r="BL29" s="94">
        <v>1</v>
      </c>
      <c r="BM29" s="95">
        <v>1</v>
      </c>
      <c r="BN29" s="97">
        <v>0</v>
      </c>
      <c r="BO29" s="98">
        <v>0</v>
      </c>
      <c r="BP29" s="99">
        <v>2</v>
      </c>
      <c r="BQ29" s="98">
        <v>1</v>
      </c>
      <c r="BR29" s="99">
        <v>3</v>
      </c>
      <c r="BS29" s="98">
        <v>1</v>
      </c>
      <c r="BT29" s="99">
        <v>0</v>
      </c>
      <c r="BU29" s="98">
        <v>2</v>
      </c>
      <c r="BV29" s="99">
        <v>1</v>
      </c>
      <c r="BW29" s="98">
        <v>1</v>
      </c>
      <c r="BX29" s="99">
        <v>1</v>
      </c>
      <c r="BY29" s="98">
        <v>1</v>
      </c>
      <c r="BZ29" s="99">
        <v>1</v>
      </c>
      <c r="CA29" s="98">
        <v>1</v>
      </c>
      <c r="CB29" s="99">
        <v>0</v>
      </c>
      <c r="CC29" s="98">
        <v>1</v>
      </c>
      <c r="CD29" s="99">
        <v>1</v>
      </c>
      <c r="CE29" s="98">
        <v>1</v>
      </c>
      <c r="CF29" s="99">
        <v>0</v>
      </c>
      <c r="CG29" s="98">
        <v>3</v>
      </c>
      <c r="CH29" s="99">
        <v>2</v>
      </c>
      <c r="CI29" s="98">
        <v>2</v>
      </c>
      <c r="CJ29" s="99">
        <v>0</v>
      </c>
      <c r="CK29" s="98">
        <v>3</v>
      </c>
      <c r="CL29" s="99">
        <v>1</v>
      </c>
      <c r="CM29" s="98">
        <v>1</v>
      </c>
      <c r="CN29" s="99">
        <v>0</v>
      </c>
      <c r="CO29" s="98">
        <v>0</v>
      </c>
      <c r="CP29" s="99">
        <v>1</v>
      </c>
      <c r="CQ29" s="98">
        <v>2</v>
      </c>
      <c r="CR29" s="99">
        <v>0</v>
      </c>
      <c r="CS29" s="100">
        <v>1</v>
      </c>
      <c r="CT29" s="21"/>
      <c r="CU29" s="22"/>
      <c r="CV29" s="23"/>
      <c r="CW29" s="96">
        <v>4</v>
      </c>
      <c r="CX29" s="91">
        <v>3</v>
      </c>
      <c r="CY29" s="90">
        <v>1</v>
      </c>
      <c r="CZ29" s="91">
        <v>0</v>
      </c>
      <c r="DA29" s="90">
        <v>1</v>
      </c>
      <c r="DB29" s="91">
        <v>0</v>
      </c>
      <c r="DC29" s="90">
        <v>2</v>
      </c>
      <c r="DD29" s="91">
        <v>1</v>
      </c>
      <c r="DE29" s="90">
        <v>1</v>
      </c>
      <c r="DF29" s="91">
        <v>0</v>
      </c>
      <c r="DG29" s="90">
        <v>5</v>
      </c>
      <c r="DH29" s="91">
        <v>4</v>
      </c>
      <c r="DI29" s="90">
        <v>2</v>
      </c>
      <c r="DJ29" s="91">
        <v>0</v>
      </c>
      <c r="DK29" s="90">
        <v>1</v>
      </c>
      <c r="DL29" s="91">
        <v>0</v>
      </c>
      <c r="DM29" s="48"/>
      <c r="DN29" s="29"/>
      <c r="DO29" s="30"/>
      <c r="DP29" s="90">
        <v>2</v>
      </c>
      <c r="DQ29" s="91">
        <v>0</v>
      </c>
      <c r="DR29" s="90">
        <v>1</v>
      </c>
      <c r="DS29" s="91">
        <v>0</v>
      </c>
      <c r="DT29" s="90">
        <v>5</v>
      </c>
      <c r="DU29" s="91">
        <v>4</v>
      </c>
      <c r="DV29" s="90">
        <v>2</v>
      </c>
      <c r="DW29" s="91">
        <v>1</v>
      </c>
      <c r="DX29" s="27"/>
      <c r="DY29" s="25"/>
      <c r="DZ29" s="26"/>
      <c r="EA29" s="90">
        <v>0</v>
      </c>
      <c r="EB29" s="91">
        <v>1</v>
      </c>
      <c r="EC29" s="90">
        <v>0</v>
      </c>
      <c r="ED29" s="91">
        <v>1</v>
      </c>
      <c r="EE29" s="21"/>
      <c r="EF29" s="22"/>
      <c r="EG29" s="23"/>
      <c r="EH29" s="90">
        <v>0</v>
      </c>
      <c r="EI29" s="91">
        <v>1</v>
      </c>
      <c r="EJ29" s="21"/>
      <c r="EK29" s="22"/>
      <c r="EL29" s="23"/>
      <c r="EM29" s="90">
        <v>3</v>
      </c>
      <c r="EN29" s="91">
        <v>4</v>
      </c>
      <c r="EO29" s="153"/>
      <c r="EP29" s="21"/>
      <c r="EQ29" s="22"/>
      <c r="ER29" s="23"/>
    </row>
    <row r="30" spans="1:148" s="151" customFormat="1" ht="16.5" thickBot="1" x14ac:dyDescent="0.35">
      <c r="A30" s="42"/>
      <c r="B30" s="156">
        <f>IF($B$3="","",IF($B$3=B29,2,0)+IF($C$3=C29,2,0)+IF(OR(AND($B$3&gt;$C$3,B29 &gt; C29),AND($B$3 &lt; $C$3,B29&lt;C29),AND($B$3 = $C$3,B29 = C29)),5,0))</f>
        <v>7</v>
      </c>
      <c r="C30" s="161"/>
      <c r="D30" s="157">
        <f>IF($D$3="","",IF($D$3=D29,2,0)+IF($E$3=E29,2,0)+IF(OR(AND($D$3&gt;$E$3,D29 &gt; E29),AND($D$3 &lt; $E$3,D29&lt;E29),AND($D$3 = $E$3,D29 = E29)),5,0))</f>
        <v>7</v>
      </c>
      <c r="E30" s="157"/>
      <c r="F30" s="157" t="str">
        <f>IF($F$3="","",IF($F$3=F29,2,0)+IF($G$3=G29,2,0)+IF(OR(AND($F$3&gt;$G$3,F29 &gt; G29),AND($F$3 &lt; $G$3,F29&lt;G29),AND($F$3 = $G$3,F29 = G29)),5,0))</f>
        <v/>
      </c>
      <c r="G30" s="157"/>
      <c r="H30" s="157" t="str">
        <f>IF($H$3="","",IF($H$3=H29,2,0)+IF($I$3=I29,2,0)+IF(OR(AND($H$3&gt;$I$3,H29 &gt; I29),AND($H$3 &lt; $I$3,H29&lt;I29),AND($H$3 = $I$3,H29 = I29)),5,0))</f>
        <v/>
      </c>
      <c r="I30" s="157"/>
      <c r="J30" s="157" t="str">
        <f>IF($J$3="","",IF($J$3=J29,2,0)+IF($K$3=K29,2,0)+IF(OR(AND($J$3&gt;$K$3,J29 &gt; K29),AND($J$3 &lt; $K$3,J29&lt;K29),AND($J$3 = $K$3,J29 = K29)),5,0))</f>
        <v/>
      </c>
      <c r="K30" s="157"/>
      <c r="L30" s="157" t="str">
        <f>IF($L$3="","",IF($L$3=L29,2,0)+IF($M$3=M29,2,0)+IF(OR(AND($L$3&gt;$M$3,L29 &gt; M29),AND($L$3 &lt; $M$3,L29&lt;M29),AND($L$3 = $M$3,L29 = M29)),5,0))</f>
        <v/>
      </c>
      <c r="M30" s="157"/>
      <c r="N30" s="157" t="str">
        <f>IF($N$3="","",IF($N$3=N29,2,0)+IF($O$3=O29,2,0)+IF(OR(AND($N$3&gt;$O$3,N29 &gt; O29),AND($N$3 &lt; $O$3,N29&lt;O29),AND($N$3 = $O$3,N29 = O29)),5,0))</f>
        <v/>
      </c>
      <c r="O30" s="157"/>
      <c r="P30" s="157" t="str">
        <f>IF($P$3="","",IF($P$3=P29,2,0)+IF($Q$3=Q29,2,0)+IF(OR(AND($P$3&gt;$Q$3,P29 &gt; Q29),AND($P$3 &lt; $Q$3,P29&lt;Q29),AND($P$3 = $Q$3,P29 = Q29)),5,0))</f>
        <v/>
      </c>
      <c r="Q30" s="157"/>
      <c r="R30" s="157" t="str">
        <f>IF($R$3="","",IF($R$3=R29,2,0)+IF($S$3=S29,2,0)+IF(OR(AND($R$3&gt;$S$3,R29 &gt; S29),AND($R$3 &lt; $S$3,R29&lt;S29),AND($R$3 = $S$3,R29 = S29)),5,0))</f>
        <v/>
      </c>
      <c r="S30" s="157"/>
      <c r="T30" s="157" t="str">
        <f>IF($T$3="","",IF($T$3=T29,2,0)+IF($U$3=U29,2,0)+IF(OR(AND($T$3&gt;$U$3,T29 &gt; U29),AND($T$3 &lt; $U$3,T29&lt;U29),AND($T$3 = $U$3,T29 = U29)),5,0))</f>
        <v/>
      </c>
      <c r="U30" s="157"/>
      <c r="V30" s="157" t="str">
        <f>IF($V$3="","",IF($V$3=V29,2,0)+IF($W$3=W29,2,0)+IF(OR(AND($V$3&gt;$W$3,V29 &gt; W29),AND($V$3 &lt; $W$3,V29&lt;W29),AND($V$3 = $W$3,V29 = W29)),5,0))</f>
        <v/>
      </c>
      <c r="W30" s="157"/>
      <c r="X30" s="157" t="str">
        <f>IF($X$3="","",IF($X$3=X29,2,0)+IF($Y$3=Y29,2,0)+IF(OR(AND($X$3&gt;$Y$3,X29 &gt; Y29),AND($X$3 &lt; $Y$3,X29&lt;Y29),AND($X$3 = $Y$3,X29 = Y29)),5,0))</f>
        <v/>
      </c>
      <c r="Y30" s="157"/>
      <c r="Z30" s="157" t="str">
        <f>IF($Z$3="","",IF($Z$3=Z29,2,0)+IF($AA$3=AA29,2,0)+IF(OR(AND($Z$3&gt;$AA$3,Z29 &gt; AA29),AND($Z$3 &lt; $AA$3,Z29&lt;AA29),AND($Z$3 = $AA$3,Z29 = AA29)),5,0))</f>
        <v/>
      </c>
      <c r="AA30" s="157"/>
      <c r="AB30" s="157" t="str">
        <f>IF($AB$3="","",IF($AB$3=AB29,2,0)+IF($AC$3=AC29,2,0)+IF(OR(AND($AB$3&gt;$AC$3,AB29 &gt; AC29),AND($AB$3 &lt; $AC$3,AB29&lt;AC29),AND($AB$3 = $AC$3,AB29 = AC29)),5,0))</f>
        <v/>
      </c>
      <c r="AC30" s="157"/>
      <c r="AD30" s="157" t="str">
        <f>IF($AD$3="","",IF($AD$3=AD29,2,0)+IF($AE$3=AE29,2,0)+IF(OR(AND($AD$3&gt;$AE$3,AD29 &gt; AE29),AND($AD$3 &lt; $AE$3,AD29&lt;AE29),AND($AD$3 = $AE$3,AD29 = AE29)),5,0))</f>
        <v/>
      </c>
      <c r="AE30" s="157"/>
      <c r="AF30" s="157" t="str">
        <f>IF($AF$3="","",IF($AF$3=AF29,2,0)+IF($AG$3=AG29,2,0)+IF(OR(AND($AF$3&gt;$AG$3,AF29 &gt; AG29),AND($AF$3 &lt; $AG$3,AF29&lt;AG29),AND($AF$3 = $AG$3,AF29 = AG29)),5,0))</f>
        <v/>
      </c>
      <c r="AG30" s="158"/>
      <c r="AH30" s="160" t="str">
        <f>IF($AH$3="","",IF($AH$3=AH29,2,0)+IF($AI$3=AI29,2,0)+IF(OR(AND($AH$3&gt;$AI$3,AH29 &gt; AI29),AND($AH$3 &lt; $AI$3,AH29&lt;AI29),AND($AH$3 = $AI$3,AH29 = AI29)),5,0))</f>
        <v/>
      </c>
      <c r="AI30" s="157"/>
      <c r="AJ30" s="157" t="str">
        <f>IF($AJ$3="","",IF($AJ$3=AJ29,2,0)+IF($AK$3=AK29,2,0)+IF(OR(AND($AJ$3&gt;$AK$3,AJ29 &gt; AK29),AND($AJ$3 &lt; $AK$3,AJ29&lt;AK29),AND($AJ$3 = $AK$3,AJ29 = AK29)),5,0))</f>
        <v/>
      </c>
      <c r="AK30" s="157"/>
      <c r="AL30" s="157" t="str">
        <f>IF($AL$3="","",IF($AL$3=AL29,2,0)+IF($AM$3=AM29,2,0)+IF(OR(AND($AL$3&gt;$AM$3,AL29 &gt; AM29),AND($AL$3 &lt; $AM$3,AL29&lt;AM29),AND($AL$3 = $AM$3,AL29 = AM29)),5,0))</f>
        <v/>
      </c>
      <c r="AM30" s="157"/>
      <c r="AN30" s="157" t="str">
        <f>IF($AN$3="","",IF($AN$3=AN29,2,0)+IF($AO$3=AO29,2,0)+IF(OR(AND($AN$3&gt;$AO$3,AN29 &gt; AO29),AND($AN$3 &lt; $AO$3,AN29&lt;AO29),AND($AN$3 = $AO$3,AN29 = AO29)),5,0))</f>
        <v/>
      </c>
      <c r="AO30" s="157"/>
      <c r="AP30" s="157" t="str">
        <f>IF($AP$3="","",IF($AP$3=AP29,2,0)+IF($AQ$3=AQ29,2,0)+IF(OR(AND($AP$3&gt;$AQ$3,AP29 &gt; AQ29),AND($AP$3 &lt; $AQ$3,AP29&lt;AQ29),AND($AP$3 = $AQ$3,AP29 = AQ29)),5,0))</f>
        <v/>
      </c>
      <c r="AQ30" s="157"/>
      <c r="AR30" s="157" t="str">
        <f>IF($AR$3="","",IF($AR$3=AR29,2,0)+IF($AS$3=AS29,2,0)+IF(OR(AND($AR$3&gt;$AS$3,AR29 &gt; AS29),AND($AR$3 &lt; $AS$3,AR29&lt;AS29),AND($AR$3 = $AS$3,AR29 = AS29)),5,0))</f>
        <v/>
      </c>
      <c r="AS30" s="157"/>
      <c r="AT30" s="157" t="str">
        <f>IF($AT$3="","",IF($AT$3=AT29,2,0)+IF($AU$3=AU29,2,0)+IF(OR(AND($AT$3&gt;$AU$3,AT29 &gt; AU29),AND($AT$3 &lt; $AU$3,AT29&lt;AU29),AND($AT$3 = $AU$3,AT29 = AU29)),5,0))</f>
        <v/>
      </c>
      <c r="AU30" s="157"/>
      <c r="AV30" s="157" t="str">
        <f>IF($AV$3="","",IF($AV$3=AV29,2,0)+IF($AW$3=AW29,2,0)+IF(OR(AND($AV$3&gt;$AW$3,AV29 &gt; AW29),AND($AV$3 &lt; $AW$3,AV29&lt;AW29),AND($AV$3 = $AW$3,AV29 = AW29)),5,0))</f>
        <v/>
      </c>
      <c r="AW30" s="157"/>
      <c r="AX30" s="157" t="str">
        <f>IF($AX$3="","",IF($AX$3=AX29,2,0)+IF($AY$3=AY29,2,0)+IF(OR(AND($AX$3&gt;$AY$3,AX29 &gt; AY29),AND($AX$3 &lt; $AY$3,AX29&lt;AY29),AND($AX$3 = $AY$3,AX29 = AY29)),5,0))</f>
        <v/>
      </c>
      <c r="AY30" s="157"/>
      <c r="AZ30" s="157" t="str">
        <f>IF($AZ$3="","",IF($AZ$3=AZ29,2,0)+IF($BA$3=BA29,2,0)+IF(OR(AND($AZ$3&gt;$BA$3,AZ29 &gt; BA29),AND($AZ$3 &lt; $BA$3,AZ29&lt;BA29),AND($AZ$3 = $BA$3,AZ29 = BA29)),5,0))</f>
        <v/>
      </c>
      <c r="BA30" s="157"/>
      <c r="BB30" s="157" t="str">
        <f>IF($BB$3="","",IF($BB$3=BB29,2,0)+IF($BC$3=BC29,2,0)+IF(OR(AND($BB$3&gt;$BC$3,BB29 &gt; BC29),AND($BB$3 &lt; $BC$3,BB29&lt;BC29),AND($BB$3 = $BC$3,BB29 = BC29)),5,0))</f>
        <v/>
      </c>
      <c r="BC30" s="157"/>
      <c r="BD30" s="157" t="str">
        <f>IF($BD$3="","",IF($BD$3=BD29,2,0)+IF($BE$3=BE29,2,0)+IF(OR(AND($BD$3&gt;$BE$3,BD29 &gt; BE29),AND($BD$3 &lt; $BE$3,BD29&lt;BE29),AND($BD$3 = $BE$3,BD29 = BE29)),5,0))</f>
        <v/>
      </c>
      <c r="BE30" s="157"/>
      <c r="BF30" s="157" t="str">
        <f>IF($BF$3="","",IF($BF$3=BF29,2,0)+IF($BG$3=BG29,2,0)+IF(OR(AND($BF$3&gt;$BG$3,BF29 &gt; BG29),AND($BF$3 &lt; $BG$3,BF29&lt;BG29),AND($BF$3 = $BG$3,BF29 = BG29)),5,0))</f>
        <v/>
      </c>
      <c r="BG30" s="157"/>
      <c r="BH30" s="157" t="str">
        <f>IF($BH$3="","",IF($BH$3=BH29,2,0)+IF($BI$3=BI29,2,0)+IF(OR(AND($BH$3&gt;$BI$3,BH29 &gt; BI29),AND($BH$3 &lt; $BI$3,BH29&lt;BI29),AND($BH$3 = $BI$3,BH29 = BI29)),5,0))</f>
        <v/>
      </c>
      <c r="BI30" s="157"/>
      <c r="BJ30" s="157" t="str">
        <f>IF($BJ$3="","",IF($BJ$3=BJ29,2,0)+IF($BK$3=BK29,2,0)+IF(OR(AND($BJ$3&gt;$BK$3,BJ29 &gt; BK29),AND($BJ$3 &lt; $BK$3,BJ29&lt;BK29),AND($BJ$3 = $BK$3,BJ29 = BK29)),5,0))</f>
        <v/>
      </c>
      <c r="BK30" s="157"/>
      <c r="BL30" s="157" t="str">
        <f>IF($BL$3="","",IF($BL$3=BL29,2,0)+IF($BM$3=BM29,2,0)+IF(OR(AND($BL$3&gt;$BM$3,BL29 &gt; BM29),AND($BL$3 &lt; $BM$3,BL29&lt;BM29),AND($BL$3 = $BM$3,BL29 = BM29)),5,0))</f>
        <v/>
      </c>
      <c r="BM30" s="154"/>
      <c r="BN30" s="156" t="str">
        <f>IF($BN$3="","",IF($BN$3=BN29,2,0)+IF($BO$3=BO29,2,0)+IF(OR(AND($BN$3&gt;$BO$3,BN29 &gt; BO29),AND($BN$3 &lt; $BO$3,BN29&lt;BO29),AND($BN$3 = $BO$3,BN29 = BO29)),5,0))</f>
        <v/>
      </c>
      <c r="BO30" s="157"/>
      <c r="BP30" s="157" t="str">
        <f>IF($BP$3="","",IF($BP$3=BP29,2,0)+IF($BQ$3=BQ29,2,0)+IF(OR(AND($BP$3&gt;$BQ$3,BP29 &gt; BQ29),AND($BP$3 &lt; $BQ$3,BP29&lt;BQ29),AND($BP$3 = $BQ$3,BP29 = BQ29)),5,0))</f>
        <v/>
      </c>
      <c r="BQ30" s="157"/>
      <c r="BR30" s="157" t="str">
        <f>IF($BR$3="","",IF($BR$3=BR29,2,0)+IF($BS$3=BS29,2,0)+IF(OR(AND($BR$3&gt;$BS$3,BR29 &gt; BS29),AND($BR$3 &lt; $BS$3,BR29&lt;BS29),AND($BR$3 = $BS$3,BR29 = BS29)),5,0))</f>
        <v/>
      </c>
      <c r="BS30" s="157"/>
      <c r="BT30" s="157" t="str">
        <f>IF($BT$3="","",IF($BT$3=BT29,2,0)+IF($BU$3=BU29,2,0)+IF(OR(AND($BT$3&gt;$BU$3,BT29 &gt; BU29),AND($BT$3 &lt; $BU$3,BT29&lt;BU29),AND($BT$3 = $BU$3,BT29 = BU29)),5,0))</f>
        <v/>
      </c>
      <c r="BU30" s="157"/>
      <c r="BV30" s="157" t="str">
        <f>IF($BV$3="","",IF($BV$3=BV29,2,0)+IF($BW$3=BW29,2,0)+IF(OR(AND($BV$3&gt;$BW$3,BV29 &gt; BW29),AND($BV$3 &lt; $BW$3,BV29&lt;BW29),AND($BV$3 = $BW$3,BV29 = BW29)),5,0))</f>
        <v/>
      </c>
      <c r="BW30" s="157"/>
      <c r="BX30" s="157" t="str">
        <f>IF($BX$3="","",IF($BX$3=BX29,2,0)+IF($BY$3=BY29,2,0)+IF(OR(AND($BX$3&gt;$BY$3,BX29 &gt; BY29),AND($BX$3 &lt; $BY$3,BX29&lt;BY29),AND($BX$3 = $BY$3,BX29 = BY29)),5,0))</f>
        <v/>
      </c>
      <c r="BY30" s="157"/>
      <c r="BZ30" s="157" t="str">
        <f>IF($BZ$3="","",IF($BZ$3=BZ29,2,0)+IF($CA$3=CA29,2,0)+IF(OR(AND($BZ$3&gt;$CA$3,BZ29 &gt; CA29),AND($BZ$3 &lt; $CA$3,BZ29&lt;CA29),AND($BZ$3 = $CA$3,BZ29 = CA29)),5,0))</f>
        <v/>
      </c>
      <c r="CA30" s="157"/>
      <c r="CB30" s="157" t="str">
        <f>IF($CB$3="","",IF($CB$3=CB29,2,0)+IF($CC$3=CC29,2,0)+IF(OR(AND($CB$3&gt;$CC$3,CB29 &gt; CC29),AND($CB$3 &lt; $CC$3,CB29&lt;CC29),AND($CB$3 = $CC$3,CB29 = CC29)),5,0))</f>
        <v/>
      </c>
      <c r="CC30" s="157"/>
      <c r="CD30" s="157" t="str">
        <f>IF($CD$3="","",IF($CD$3=CD29,2,0)+IF($CE$3=CE29,2,0)+IF(OR(AND($CD$3&gt;$CE$3,CD29 &gt; CE29),AND($CD$3 &lt; $CE$3,CD29&lt;$CE$5),AND($CD$3 = $CE$3,CD29 = CE29)),5,0))</f>
        <v/>
      </c>
      <c r="CE30" s="157"/>
      <c r="CF30" s="157" t="str">
        <f>IF($CF$3="","",IF($CF$3=CF29,2,0)+IF($CG$3=CG29,2,0)+IF(OR(AND($CF$3&gt;$CG$3,CF29 &gt; CG29),AND($CF$3 &lt; $CG$3,CF29&lt;CG29),AND($CF$3 = $CG$3,CF29 = CG29)),5,0))</f>
        <v/>
      </c>
      <c r="CG30" s="157"/>
      <c r="CH30" s="157" t="str">
        <f>IF($CH$3="","",IF($CH$3=CH29,2,0)+IF($CI$3=CI29,2,0)+IF(OR(AND($CH$3&gt;$CI$3,CH29 &gt; CI29),AND($CH$3 &lt; $CI$3,CH29&lt;CI29),AND($CH$3 = $CI$3,CH29 = CI29)),5,0))</f>
        <v/>
      </c>
      <c r="CI30" s="157"/>
      <c r="CJ30" s="157" t="str">
        <f>IF($CJ$3="","",IF($CJ$3=CJ29,2,0)+IF($CK$3=CK29,2,0)+IF(OR(AND($CJ$3&gt;$CK$3,CJ29 &gt; CK29),AND($CJ$3 &lt; $CK$3,CJ29&lt;CK29),AND($CJ$3 = $CK$3,CJ29 = CK29)),5,0))</f>
        <v/>
      </c>
      <c r="CK30" s="157"/>
      <c r="CL30" s="157" t="str">
        <f>IF($CL$3="","",IF($CL$3=CL29,2,0)+IF($CM$3=CM29,2,0)+IF(OR(AND($CL$3&gt;$CM$3,CL29 &gt; CM29),AND($CL$3 &lt; $CM$3,CL29&lt;CM29),AND($CL$3 = $CM$3,CL29 = CM29)),5,0))</f>
        <v/>
      </c>
      <c r="CM30" s="157"/>
      <c r="CN30" s="157" t="str">
        <f>IF($CN$3="","",IF($CN$3=CN29,2,0)+IF($CO$3=CO29,2,0)+IF(OR(AND($CN$3&gt;$CO$3,CN29 &gt; CO29),AND($CN$3 &lt; $CO$3,CN29&lt;CO29),AND($CN$3 = $CO$3,CN29 = CO29)),5,0))</f>
        <v/>
      </c>
      <c r="CO30" s="157"/>
      <c r="CP30" s="157" t="str">
        <f>IF($CP$3="","",IF($CP$3=CP29,2,0)+IF($CQ$3=CQ29,2,0)+IF(OR(AND($CP$3&gt;$CQ$3,CP29 &gt; CQ29),AND($CP$3 &lt; $CQ$3,CP29&lt;CQ29),AND($CP$3 = $CQ$3,CP29 = CQ29)),5,0))</f>
        <v/>
      </c>
      <c r="CQ30" s="157"/>
      <c r="CR30" s="157" t="str">
        <f>IF($CR$3="","",IF($CR$3=CR29,2,0)+IF($CS$3=CS29,2,0)+IF(OR(AND($CR$3&gt;$CS$3,CR29 &gt; CS29),AND($CR$3 &lt; $CS$3,CR29&lt;CS29),AND($CR$3 = $CS$3,CR29 = CS29)),5,0))</f>
        <v/>
      </c>
      <c r="CS30" s="154"/>
      <c r="CT30" s="24">
        <f>SUM(B30:CS30)</f>
        <v>14</v>
      </c>
      <c r="CU30" s="12">
        <f>IF(AND(CW28=$CW$2,CW28&lt;&gt;""),2,0)+IF(AND(CX28=$CX$2,CX28&lt;&gt;""),2,0)+IF(AND(CY28=$CY$2,CY28&lt;&gt;""),2,0)+IF(AND(CZ28=$CZ$2,CZ28&lt;&gt;""),2,0)+IF(AND(DA28=$DA$2,DA28&lt;&gt;""),2,0)+IF(AND(DB28=$DB$2,DB28&lt;&gt;""),2,0)+IF(AND(DC28=$DC$2,DC28&lt;&gt;""),2,0)+IF(AND(DD28=$DD$2,DD28&lt;&gt;""),2,0)+IF(AND(DE28=$DE$2,DE28&lt;&gt;""),2,0)+IF(AND(DF28=$DF$2,DF28&lt;&gt;""),2,0)+IF(AND(DG28=$DG$2,DG28&lt;&gt;""),2,0)+IF(AND(DH28=$DH$2,DH28&lt;&gt;""),2,0)+IF(AND(DI28=$DI$2,DI28&lt;&gt;""),2,0)+IF(AND(DJ28=$DJ$2,DJ28&lt;&gt;""),2,0)+IF(AND(DK28=$DK$2,DK28&lt;&gt;""),2,0)+IF(AND(DL28=$DL$2,DL28&lt;&gt;""),2,0)</f>
        <v>0</v>
      </c>
      <c r="CV30" s="11">
        <f>CT30+CU30</f>
        <v>14</v>
      </c>
      <c r="CW30" s="156" t="str">
        <f>IF($CW$3="","",IF($CW$3=CW29,2,0)+IF($CX$3=CX29,2,0)+IF(OR(AND($CW$3&gt;$CX$3,CW29 &gt; CX29),AND($CW$3 &lt; $CX$3,CW29&lt;CX29),AND($CW$3 = $CX$3,CW29 = CX29)),5,0))</f>
        <v/>
      </c>
      <c r="CX30" s="157"/>
      <c r="CY30" s="157" t="str">
        <f>IF($CY$3="","",IF($CY$3=CY29,2,0)+IF($CZ$3=CZ29,2,0)+IF(OR(AND($CY$3&gt;$CZ$3,CY29 &gt; CZ29),AND($CY$3 &lt; $CZ$3,CY29&lt;CZ29),AND($CY$3 = $CZ$3,CY29 = CZ29)),5,0))</f>
        <v/>
      </c>
      <c r="CZ30" s="157"/>
      <c r="DA30" s="157" t="str">
        <f>IF($DA27="","",IF($DA$3=DA29,2,0)+IF($DB$3=DB29,2,0)+IF(OR(AND($DA$3&gt;$DB$3,DA29 &gt; DB29),AND($DA$3 &lt; $DB$3,DA29&lt;DB29),AND($DA$3 = $DB$3,DA29 = DB29)),5,0))</f>
        <v/>
      </c>
      <c r="DB30" s="157"/>
      <c r="DC30" s="157" t="str">
        <f>IF($DC$3="","",IF($DC$3=DC29,2,0)+IF($DD$3=DD29,2,0)+IF(OR(AND($DC$3&gt;$DD$3,DC29 &gt; DD29),AND($DC$3 &lt; $DD$3,DC29&lt;DD29),AND($DC$3 = $DD$3,DC29 = DD29)),5,0))</f>
        <v/>
      </c>
      <c r="DD30" s="157"/>
      <c r="DE30" s="157" t="str">
        <f>IF($DE$3="","",IF($DE$3=DE29,2,0)+IF($DF$3=DF29,2,0)+IF(OR(AND($DE$3&gt;$DF$3,DE29 &gt; DF29),AND($DE$3 &lt; $DF$3,DE29&lt;DF29),AND($DE$3 = $DF$3,DE29 = DF29)),5,0))</f>
        <v/>
      </c>
      <c r="DF30" s="157"/>
      <c r="DG30" s="157" t="str">
        <f>IF($DG$3="","",IF($DG$3=DG29,2,0)+IF($DH$3=DH29,2,0)+IF(OR(AND($DG$3&gt;$DH$3,DG29 &gt; DH29),AND($DG$3 &lt; $DH$3,DG29&lt;DH29),AND($DG$3 = $DH$3,DG29 = DH29)),5,0))</f>
        <v/>
      </c>
      <c r="DH30" s="157"/>
      <c r="DI30" s="157" t="str">
        <f>IF($DI$3="","",IF($DI$3=DI29,2,0)+IF($DJ$3=DJ29,2,0)+IF(OR(AND($DI$3&gt;$DJ$3,DI29 &gt; DJ29),AND($DI$3 &lt; $DJ$3,DI29&lt;DJ29),AND($DI$3 = $DJ$3,DI29 = DJ29)),5,0))</f>
        <v/>
      </c>
      <c r="DJ30" s="157"/>
      <c r="DK30" s="157" t="str">
        <f>IF($DK$3="","",IF($DK$3=DK29,2,0)+IF($DL$3=DL29,2,0)+IF(OR(AND($DK$3&gt;$DL$3,DK29 &gt; DL29),AND($DK$3 &lt; $DL$3,DK29&lt;DL29),AND($DK$3 = $DL$3,DK29 = DL29)),5,0))</f>
        <v/>
      </c>
      <c r="DL30" s="154"/>
      <c r="DM30" s="24">
        <f>SUM(CW30:DL30)</f>
        <v>0</v>
      </c>
      <c r="DN30" s="12">
        <f>IF(AND(DP28=$DP$2,DP28&lt;&gt;""),2,0)+IF(AND(DQ28=$DQ$2,DQ28&lt;&gt;""),2,0)+IF(AND(DR28=$DR$2,DR28&lt;&gt;""),2,0)+IF(AND(DS28=$DS$2,DS28&lt;&gt;""),2,0)+IF(AND(DT28=$DT$2,DT28&lt;&gt;""),2,0)+IF(AND(DU28=$DU$2,DU28&lt;&gt;""),2,0)+IF(AND(DV28=$DV$2,DV28&lt;&gt;""),2,0)+IF(AND(DW28=$DW$2,DW28&lt;&gt;""),2,0)</f>
        <v>0</v>
      </c>
      <c r="DO30" s="11">
        <f>CV30+DM30+DN30</f>
        <v>14</v>
      </c>
      <c r="DP30" s="159" t="str">
        <f>IF($DP$3="","",IF($DP$3=DP29,2,0)+IF($DQ$3=DQ29,2,0)+IF(OR(AND($DP$3&gt;$DQ$3,DP29 &gt; DQ29),AND($DP$3 &lt; $DQ$3,DP29&lt;DQ29),AND($DP$3 = $DQ$3,DP29 = DQ29)),5,0))</f>
        <v/>
      </c>
      <c r="DQ30" s="160"/>
      <c r="DR30" s="154" t="str">
        <f>IF($DR$3="","",IF($DR$3=DR29,2,0)+IF($DS$3=DS29,2,0)+IF(OR(AND($DR$3&gt;$DS$3,DR29 &gt; DS29),AND($DR$3 &lt; $DS$3,DR29&lt;DS29),AND($DR$3 = $DS$3,DR29 = DS29)),5,0))</f>
        <v/>
      </c>
      <c r="DS30" s="160"/>
      <c r="DT30" s="154" t="str">
        <f>IF($DT$3="","",IF($DT$3=DT29,2,0)+IF($DU$3=DU29,2,0)+IF(OR(AND($DT$3&gt;$DU$3,DT29 &gt; DU29),AND($DT$3 &lt; $DU$3,DT29&lt;DU29),AND($DT$3 = $DU$3,DT29 = DU29)),5,0))</f>
        <v/>
      </c>
      <c r="DU30" s="160"/>
      <c r="DV30" s="154" t="str">
        <f>IF($DV$3="","",IF($DV27=DV29,2,0)+IF($DW$3=DW29,2,0)+IF(OR(AND($DV$3&gt;$DW$3,DV29 &gt; DW29),AND($DV$3 &lt; $DW$3,DV29&lt;DW29),AND($DV$3 = $DW$3,DV29 = DW29)),5,0))</f>
        <v/>
      </c>
      <c r="DW30" s="155"/>
      <c r="DX30" s="24">
        <f>SUM(DP30:DW30)</f>
        <v>0</v>
      </c>
      <c r="DY30" s="12">
        <f>IF(AND(EA28=$EA$2,EA28&lt;&gt;""),3,0)+IF(AND(EB28=$EB$2,EB28&lt;&gt;""),3,0)+IF(AND(EC28=$EC$2,EC28&lt;&gt;""),3,0)+IF(AND(ED28=$ED$2,ED28&lt;&gt;""),3,0)</f>
        <v>0</v>
      </c>
      <c r="DZ30" s="11">
        <f>DO30+DX30+DY30</f>
        <v>14</v>
      </c>
      <c r="EA30" s="156" t="str">
        <f>IF($EA$3="","",IF($EA$3=EA29,2,0)+IF($EB$3=EB29,2,0)+IF(OR(AND($EA$3&gt;$EB$3,EA29 &gt; EB29),AND($EA$3 &lt; $EB$3,EA29&lt;EB29),AND($EA$3 = $EB$3,EA29 = EB29)),5,0))</f>
        <v/>
      </c>
      <c r="EB30" s="157"/>
      <c r="EC30" s="157" t="str">
        <f>IF($EC$3="","",IF($EC$3=EC29,2,0)+IF($ED$3=ED29,2,0)+IF(OR(AND($EC$3&gt;$ED$3,EC29 &gt; ED29),AND($EC$3 &lt; $ED$3,EC29&lt;ED29),AND($EC$3 = $ED$3,EC29 = ED29)),5,0))</f>
        <v/>
      </c>
      <c r="ED30" s="154"/>
      <c r="EE30" s="24">
        <f>SUM(EA30:ED30)</f>
        <v>0</v>
      </c>
      <c r="EF30" s="12">
        <f>IF(AND(EH28=$EH$2,EH28&lt;&gt;""),3,0)+IF(AND(EI28=$EI$2,EI28&lt;&gt;""),3,0)</f>
        <v>0</v>
      </c>
      <c r="EG30" s="11">
        <f>DZ30+EE30+EF30</f>
        <v>14</v>
      </c>
      <c r="EH30" s="156" t="str">
        <f>IF($EH$3="","",IF($EH$3=EH29,2,0)+IF($EI$3=EI29,2,0)+IF(OR(AND($EH$3&gt;$EI$3,EH29 &gt; EI29),AND($EH$3 &lt; $EI$3,EH29&lt;EI29),AND($EH$3 = $EI$3,EH29 = EI29)),5,0))</f>
        <v/>
      </c>
      <c r="EI30" s="154"/>
      <c r="EJ30" s="24">
        <f>SUM(EH30:EI30)</f>
        <v>0</v>
      </c>
      <c r="EK30" s="12">
        <f>IF(AND(EM28=$EM$2,EM28&lt;&gt;""),5,0)+IF(AND(EN28=$EN$2,EN28&lt;&gt;""),5,0)</f>
        <v>0</v>
      </c>
      <c r="EL30" s="11">
        <f>EG30+EJ30+EK30</f>
        <v>14</v>
      </c>
      <c r="EM30" s="156" t="str">
        <f>IF($EM$3="","",IF($EM$3=EM29,2,0)+IF($EN$3=EN29,2,0)+IF(OR(AND($EM$3&gt;$EN$3,EM29 &gt; EN29),AND($EM$3 &lt; $EN$3,EM29&lt;EN29),AND($EM$3 = $EN$3,EM29 = EN29)),5,0))</f>
        <v/>
      </c>
      <c r="EN30" s="158"/>
      <c r="EO30" s="152"/>
      <c r="EP30" s="8" t="str">
        <f>EM30</f>
        <v/>
      </c>
      <c r="EQ30" s="20">
        <f>IF(AND(EO28=$EO$2,EO28&lt;&gt;""),10,0)</f>
        <v>0</v>
      </c>
      <c r="ER30" s="11" t="e">
        <f>EL30+EP30+EQ30</f>
        <v>#VALUE!</v>
      </c>
    </row>
    <row r="31" spans="1:148" s="145" customFormat="1" ht="24" thickBot="1" x14ac:dyDescent="0.35">
      <c r="A31" s="2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6"/>
      <c r="AH31" s="43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6"/>
      <c r="BN31" s="43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17"/>
      <c r="CU31" s="18"/>
      <c r="CV31" s="19"/>
      <c r="CW31" s="78" t="s">
        <v>10</v>
      </c>
      <c r="CX31" s="77" t="s">
        <v>12</v>
      </c>
      <c r="CY31" s="76" t="s">
        <v>15</v>
      </c>
      <c r="CZ31" s="77" t="s">
        <v>21</v>
      </c>
      <c r="DA31" s="76" t="s">
        <v>19</v>
      </c>
      <c r="DB31" s="77" t="s">
        <v>18</v>
      </c>
      <c r="DC31" s="76" t="s">
        <v>11</v>
      </c>
      <c r="DD31" s="77" t="s">
        <v>7</v>
      </c>
      <c r="DE31" s="76" t="s">
        <v>23</v>
      </c>
      <c r="DF31" s="77" t="s">
        <v>28</v>
      </c>
      <c r="DG31" s="76" t="s">
        <v>34</v>
      </c>
      <c r="DH31" s="77" t="s">
        <v>35</v>
      </c>
      <c r="DI31" s="76" t="s">
        <v>27</v>
      </c>
      <c r="DJ31" s="77" t="s">
        <v>24</v>
      </c>
      <c r="DK31" s="76" t="s">
        <v>37</v>
      </c>
      <c r="DL31" s="77" t="s">
        <v>31</v>
      </c>
      <c r="DM31" s="14"/>
      <c r="DN31" s="15"/>
      <c r="DO31" s="16"/>
      <c r="DP31" s="79" t="s">
        <v>23</v>
      </c>
      <c r="DQ31" s="80" t="s">
        <v>34</v>
      </c>
      <c r="DR31" s="79" t="s">
        <v>12</v>
      </c>
      <c r="DS31" s="80" t="s">
        <v>15</v>
      </c>
      <c r="DT31" s="81" t="s">
        <v>11</v>
      </c>
      <c r="DU31" s="80" t="s">
        <v>19</v>
      </c>
      <c r="DV31" s="79" t="s">
        <v>27</v>
      </c>
      <c r="DW31" s="80" t="s">
        <v>37</v>
      </c>
      <c r="DX31" s="7"/>
      <c r="DY31" s="9"/>
      <c r="DZ31" s="10"/>
      <c r="EA31" s="82" t="s">
        <v>12</v>
      </c>
      <c r="EB31" s="83" t="s">
        <v>23</v>
      </c>
      <c r="EC31" s="84" t="s">
        <v>11</v>
      </c>
      <c r="ED31" s="83" t="s">
        <v>27</v>
      </c>
      <c r="EE31" s="7"/>
      <c r="EF31" s="9"/>
      <c r="EG31" s="10"/>
      <c r="EH31" s="85" t="s">
        <v>12</v>
      </c>
      <c r="EI31" s="86" t="s">
        <v>11</v>
      </c>
      <c r="EJ31" s="7"/>
      <c r="EK31" s="9"/>
      <c r="EL31" s="10"/>
      <c r="EM31" s="87" t="s">
        <v>23</v>
      </c>
      <c r="EN31" s="88" t="s">
        <v>27</v>
      </c>
      <c r="EO31" s="89" t="s">
        <v>44</v>
      </c>
      <c r="EP31" s="7"/>
      <c r="EQ31" s="9"/>
      <c r="ER31" s="10"/>
    </row>
    <row r="32" spans="1:148" s="151" customFormat="1" ht="16.5" thickBot="1" x14ac:dyDescent="0.35">
      <c r="A32" s="146" t="s">
        <v>56</v>
      </c>
      <c r="B32" s="92">
        <v>2</v>
      </c>
      <c r="C32" s="93">
        <v>0</v>
      </c>
      <c r="D32" s="94">
        <v>0</v>
      </c>
      <c r="E32" s="93">
        <v>3</v>
      </c>
      <c r="F32" s="94">
        <v>2</v>
      </c>
      <c r="G32" s="93">
        <v>1</v>
      </c>
      <c r="H32" s="94">
        <v>0</v>
      </c>
      <c r="I32" s="93">
        <v>2</v>
      </c>
      <c r="J32" s="94">
        <v>2</v>
      </c>
      <c r="K32" s="93">
        <v>1</v>
      </c>
      <c r="L32" s="94">
        <v>1</v>
      </c>
      <c r="M32" s="93">
        <v>3</v>
      </c>
      <c r="N32" s="94">
        <v>2</v>
      </c>
      <c r="O32" s="93">
        <v>0</v>
      </c>
      <c r="P32" s="94">
        <v>2</v>
      </c>
      <c r="Q32" s="93">
        <v>1</v>
      </c>
      <c r="R32" s="94">
        <v>3</v>
      </c>
      <c r="S32" s="93">
        <v>1</v>
      </c>
      <c r="T32" s="94">
        <v>1</v>
      </c>
      <c r="U32" s="93">
        <v>1</v>
      </c>
      <c r="V32" s="94">
        <v>2</v>
      </c>
      <c r="W32" s="93">
        <v>1</v>
      </c>
      <c r="X32" s="94">
        <v>1</v>
      </c>
      <c r="Y32" s="93">
        <v>0</v>
      </c>
      <c r="Z32" s="94">
        <v>2</v>
      </c>
      <c r="AA32" s="93">
        <v>0</v>
      </c>
      <c r="AB32" s="94">
        <v>0</v>
      </c>
      <c r="AC32" s="93">
        <v>3</v>
      </c>
      <c r="AD32" s="94">
        <v>1</v>
      </c>
      <c r="AE32" s="93">
        <v>1</v>
      </c>
      <c r="AF32" s="94">
        <v>2</v>
      </c>
      <c r="AG32" s="95">
        <v>0</v>
      </c>
      <c r="AH32" s="92">
        <v>2</v>
      </c>
      <c r="AI32" s="93">
        <v>0</v>
      </c>
      <c r="AJ32" s="94">
        <v>3</v>
      </c>
      <c r="AK32" s="93">
        <v>0</v>
      </c>
      <c r="AL32" s="94">
        <v>2</v>
      </c>
      <c r="AM32" s="93">
        <v>0</v>
      </c>
      <c r="AN32" s="94">
        <v>0</v>
      </c>
      <c r="AO32" s="93">
        <v>2</v>
      </c>
      <c r="AP32" s="94">
        <v>2</v>
      </c>
      <c r="AQ32" s="93">
        <v>1</v>
      </c>
      <c r="AR32" s="94">
        <v>1</v>
      </c>
      <c r="AS32" s="93">
        <v>1</v>
      </c>
      <c r="AT32" s="94">
        <v>1</v>
      </c>
      <c r="AU32" s="93">
        <v>0</v>
      </c>
      <c r="AV32" s="94">
        <v>1</v>
      </c>
      <c r="AW32" s="93">
        <v>0</v>
      </c>
      <c r="AX32" s="94">
        <v>2</v>
      </c>
      <c r="AY32" s="93">
        <v>0</v>
      </c>
      <c r="AZ32" s="94">
        <v>0</v>
      </c>
      <c r="BA32" s="93">
        <v>1</v>
      </c>
      <c r="BB32" s="94">
        <v>1</v>
      </c>
      <c r="BC32" s="93">
        <v>0</v>
      </c>
      <c r="BD32" s="94">
        <v>1</v>
      </c>
      <c r="BE32" s="93">
        <v>2</v>
      </c>
      <c r="BF32" s="94">
        <v>2</v>
      </c>
      <c r="BG32" s="93">
        <v>0</v>
      </c>
      <c r="BH32" s="94">
        <v>2</v>
      </c>
      <c r="BI32" s="93">
        <v>0</v>
      </c>
      <c r="BJ32" s="94">
        <v>1</v>
      </c>
      <c r="BK32" s="93">
        <v>1</v>
      </c>
      <c r="BL32" s="94">
        <v>0</v>
      </c>
      <c r="BM32" s="95">
        <v>1</v>
      </c>
      <c r="BN32" s="97">
        <v>1</v>
      </c>
      <c r="BO32" s="98">
        <v>2</v>
      </c>
      <c r="BP32" s="99">
        <v>2</v>
      </c>
      <c r="BQ32" s="98">
        <v>0</v>
      </c>
      <c r="BR32" s="99">
        <v>2</v>
      </c>
      <c r="BS32" s="98">
        <v>0</v>
      </c>
      <c r="BT32" s="99">
        <v>0</v>
      </c>
      <c r="BU32" s="98">
        <v>3</v>
      </c>
      <c r="BV32" s="99">
        <v>1</v>
      </c>
      <c r="BW32" s="98">
        <v>1</v>
      </c>
      <c r="BX32" s="99">
        <v>1</v>
      </c>
      <c r="BY32" s="98">
        <v>1</v>
      </c>
      <c r="BZ32" s="99">
        <v>0</v>
      </c>
      <c r="CA32" s="98">
        <v>3</v>
      </c>
      <c r="CB32" s="99">
        <v>0</v>
      </c>
      <c r="CC32" s="98">
        <v>2</v>
      </c>
      <c r="CD32" s="99">
        <v>1</v>
      </c>
      <c r="CE32" s="98">
        <v>1</v>
      </c>
      <c r="CF32" s="99">
        <v>0</v>
      </c>
      <c r="CG32" s="98">
        <v>2</v>
      </c>
      <c r="CH32" s="99">
        <v>1</v>
      </c>
      <c r="CI32" s="98">
        <v>1</v>
      </c>
      <c r="CJ32" s="99">
        <v>0</v>
      </c>
      <c r="CK32" s="98">
        <v>3</v>
      </c>
      <c r="CL32" s="99">
        <v>1</v>
      </c>
      <c r="CM32" s="98">
        <v>1</v>
      </c>
      <c r="CN32" s="99">
        <v>1</v>
      </c>
      <c r="CO32" s="98">
        <v>0</v>
      </c>
      <c r="CP32" s="99">
        <v>0</v>
      </c>
      <c r="CQ32" s="98">
        <v>1</v>
      </c>
      <c r="CR32" s="99">
        <v>0</v>
      </c>
      <c r="CS32" s="100">
        <v>1</v>
      </c>
      <c r="CT32" s="21"/>
      <c r="CU32" s="22"/>
      <c r="CV32" s="23"/>
      <c r="CW32" s="96">
        <v>0</v>
      </c>
      <c r="CX32" s="91">
        <v>1</v>
      </c>
      <c r="CY32" s="90">
        <v>5</v>
      </c>
      <c r="CZ32" s="91">
        <v>4</v>
      </c>
      <c r="DA32" s="90">
        <v>2</v>
      </c>
      <c r="DB32" s="91">
        <v>0</v>
      </c>
      <c r="DC32" s="90">
        <v>2</v>
      </c>
      <c r="DD32" s="91">
        <v>0</v>
      </c>
      <c r="DE32" s="90">
        <v>3</v>
      </c>
      <c r="DF32" s="91">
        <v>1</v>
      </c>
      <c r="DG32" s="90">
        <v>2</v>
      </c>
      <c r="DH32" s="91">
        <v>0</v>
      </c>
      <c r="DI32" s="90">
        <v>3</v>
      </c>
      <c r="DJ32" s="91">
        <v>1</v>
      </c>
      <c r="DK32" s="90">
        <v>1</v>
      </c>
      <c r="DL32" s="91">
        <v>0</v>
      </c>
      <c r="DM32" s="48"/>
      <c r="DN32" s="29"/>
      <c r="DO32" s="30"/>
      <c r="DP32" s="90">
        <v>2</v>
      </c>
      <c r="DQ32" s="91">
        <v>1</v>
      </c>
      <c r="DR32" s="90">
        <v>1</v>
      </c>
      <c r="DS32" s="91">
        <v>0</v>
      </c>
      <c r="DT32" s="90">
        <v>5</v>
      </c>
      <c r="DU32" s="91">
        <v>4</v>
      </c>
      <c r="DV32" s="90">
        <v>2</v>
      </c>
      <c r="DW32" s="91">
        <v>1</v>
      </c>
      <c r="DX32" s="27"/>
      <c r="DY32" s="25"/>
      <c r="DZ32" s="26"/>
      <c r="EA32" s="90">
        <v>0</v>
      </c>
      <c r="EB32" s="91">
        <v>2</v>
      </c>
      <c r="EC32" s="90">
        <v>1</v>
      </c>
      <c r="ED32" s="91">
        <v>3</v>
      </c>
      <c r="EE32" s="21"/>
      <c r="EF32" s="22"/>
      <c r="EG32" s="23"/>
      <c r="EH32" s="90">
        <v>5</v>
      </c>
      <c r="EI32" s="91">
        <v>4</v>
      </c>
      <c r="EJ32" s="21"/>
      <c r="EK32" s="22"/>
      <c r="EL32" s="23"/>
      <c r="EM32" s="90">
        <v>3</v>
      </c>
      <c r="EN32" s="91">
        <v>2</v>
      </c>
      <c r="EO32" s="153"/>
      <c r="EP32" s="21"/>
      <c r="EQ32" s="22"/>
      <c r="ER32" s="23"/>
    </row>
    <row r="33" spans="1:148" s="151" customFormat="1" ht="16.5" thickBot="1" x14ac:dyDescent="0.35">
      <c r="A33" s="42"/>
      <c r="B33" s="156">
        <f>IF($B$3="","",IF($B$3=B32,2,0)+IF($C$3=C32,2,0)+IF(OR(AND($B$3&gt;$C$3,B32 &gt; C32),AND($B$3 &lt; $C$3,B32&lt;C32),AND($B$3 = $C$3,B32 = C32)),5,0))</f>
        <v>7</v>
      </c>
      <c r="C33" s="161"/>
      <c r="D33" s="157">
        <f>IF($D$3="","",IF($D$3=D32,2,0)+IF($E$3=E32,2,0)+IF(OR(AND($D$3&gt;$E$3,D32 &gt; E32),AND($D$3 &lt; $E$3,D32&lt;E32),AND($D$3 = $E$3,D32 = E32)),5,0))</f>
        <v>7</v>
      </c>
      <c r="E33" s="157"/>
      <c r="F33" s="157" t="str">
        <f>IF($F$3="","",IF($F$3=F32,2,0)+IF($G$3=G32,2,0)+IF(OR(AND($F$3&gt;$G$3,F32 &gt; G32),AND($F$3 &lt; $G$3,F32&lt;G32),AND($F$3 = $G$3,F32 = G32)),5,0))</f>
        <v/>
      </c>
      <c r="G33" s="157"/>
      <c r="H33" s="157" t="str">
        <f>IF($H$3="","",IF($H$3=H32,2,0)+IF($I$3=I32,2,0)+IF(OR(AND($H$3&gt;$I$3,H32 &gt; I32),AND($H$3 &lt; $I$3,H32&lt;I32),AND($H$3 = $I$3,H32 = I32)),5,0))</f>
        <v/>
      </c>
      <c r="I33" s="157"/>
      <c r="J33" s="157" t="str">
        <f>IF($J$3="","",IF($J$3=J32,2,0)+IF($K$3=K32,2,0)+IF(OR(AND($J$3&gt;$K$3,J32 &gt; K32),AND($J$3 &lt; $K$3,J32&lt;K32),AND($J$3 = $K$3,J32 = K32)),5,0))</f>
        <v/>
      </c>
      <c r="K33" s="157"/>
      <c r="L33" s="157" t="str">
        <f>IF($L$3="","",IF($L$3=L32,2,0)+IF($M$3=M32,2,0)+IF(OR(AND($L$3&gt;$M$3,L32 &gt; M32),AND($L$3 &lt; $M$3,L32&lt;M32),AND($L$3 = $M$3,L32 = M32)),5,0))</f>
        <v/>
      </c>
      <c r="M33" s="157"/>
      <c r="N33" s="157" t="str">
        <f>IF($N$3="","",IF($N$3=N32,2,0)+IF($O$3=O32,2,0)+IF(OR(AND($N$3&gt;$O$3,N32 &gt; O32),AND($N$3 &lt; $O$3,N32&lt;O32),AND($N$3 = $O$3,N32 = O32)),5,0))</f>
        <v/>
      </c>
      <c r="O33" s="157"/>
      <c r="P33" s="157" t="str">
        <f>IF($P$3="","",IF($P$3=P32,2,0)+IF($Q$3=Q32,2,0)+IF(OR(AND($P$3&gt;$Q$3,P32 &gt; Q32),AND($P$3 &lt; $Q$3,P32&lt;Q32),AND($P$3 = $Q$3,P32 = Q32)),5,0))</f>
        <v/>
      </c>
      <c r="Q33" s="157"/>
      <c r="R33" s="157" t="str">
        <f>IF($R$3="","",IF($R$3=R32,2,0)+IF($S$3=S32,2,0)+IF(OR(AND($R$3&gt;$S$3,R32 &gt; S32),AND($R$3 &lt; $S$3,R32&lt;S32),AND($R$3 = $S$3,R32 = S32)),5,0))</f>
        <v/>
      </c>
      <c r="S33" s="157"/>
      <c r="T33" s="157" t="str">
        <f>IF($T$3="","",IF($T$3=T32,2,0)+IF($U$3=U32,2,0)+IF(OR(AND($T$3&gt;$U$3,T32 &gt; U32),AND($T$3 &lt; $U$3,T32&lt;U32),AND($T$3 = $U$3,T32 = U32)),5,0))</f>
        <v/>
      </c>
      <c r="U33" s="157"/>
      <c r="V33" s="157" t="str">
        <f>IF($V$3="","",IF($V$3=V32,2,0)+IF($W$3=W32,2,0)+IF(OR(AND($V$3&gt;$W$3,V32 &gt; W32),AND($V$3 &lt; $W$3,V32&lt;W32),AND($V$3 = $W$3,V32 = W32)),5,0))</f>
        <v/>
      </c>
      <c r="W33" s="157"/>
      <c r="X33" s="157" t="str">
        <f>IF($X$3="","",IF($X$3=X32,2,0)+IF($Y$3=Y32,2,0)+IF(OR(AND($X$3&gt;$Y$3,X32 &gt; Y32),AND($X$3 &lt; $Y$3,X32&lt;Y32),AND($X$3 = $Y$3,X32 = Y32)),5,0))</f>
        <v/>
      </c>
      <c r="Y33" s="157"/>
      <c r="Z33" s="157" t="str">
        <f>IF($Z$3="","",IF($Z$3=Z32,2,0)+IF($AA$3=AA32,2,0)+IF(OR(AND($Z$3&gt;$AA$3,Z32 &gt; AA32),AND($Z$3 &lt; $AA$3,Z32&lt;AA32),AND($Z$3 = $AA$3,Z32 = AA32)),5,0))</f>
        <v/>
      </c>
      <c r="AA33" s="157"/>
      <c r="AB33" s="157" t="str">
        <f>IF($AB$3="","",IF($AB$3=AB32,2,0)+IF($AC$3=AC32,2,0)+IF(OR(AND($AB$3&gt;$AC$3,AB32 &gt; AC32),AND($AB$3 &lt; $AC$3,AB32&lt;AC32),AND($AB$3 = $AC$3,AB32 = AC32)),5,0))</f>
        <v/>
      </c>
      <c r="AC33" s="157"/>
      <c r="AD33" s="157" t="str">
        <f>IF($AD$3="","",IF($AD$3=AD32,2,0)+IF($AE$3=AE32,2,0)+IF(OR(AND($AD$3&gt;$AE$3,AD32 &gt; AE32),AND($AD$3 &lt; $AE$3,AD32&lt;AE32),AND($AD$3 = $AE$3,AD32 = AE32)),5,0))</f>
        <v/>
      </c>
      <c r="AE33" s="157"/>
      <c r="AF33" s="157" t="str">
        <f>IF($AF$3="","",IF($AF$3=AF32,2,0)+IF($AG$3=AG32,2,0)+IF(OR(AND($AF$3&gt;$AG$3,AF32 &gt; AG32),AND($AF$3 &lt; $AG$3,AF32&lt;AG32),AND($AF$3 = $AG$3,AF32 = AG32)),5,0))</f>
        <v/>
      </c>
      <c r="AG33" s="158"/>
      <c r="AH33" s="160" t="str">
        <f>IF($AH$3="","",IF($AH$3=AH32,2,0)+IF($AI$3=AI32,2,0)+IF(OR(AND($AH$3&gt;$AI$3,AH32 &gt; AI32),AND($AH$3 &lt; $AI$3,AH32&lt;AI32),AND($AH$3 = $AI$3,AH32 = AI32)),5,0))</f>
        <v/>
      </c>
      <c r="AI33" s="157"/>
      <c r="AJ33" s="157" t="str">
        <f>IF($AJ$3="","",IF($AJ$3=AJ32,2,0)+IF($AK$3=AK32,2,0)+IF(OR(AND($AJ$3&gt;$AK$3,AJ32 &gt; AK32),AND($AJ$3 &lt; $AK$3,AJ32&lt;AK32),AND($AJ$3 = $AK$3,AJ32 = AK32)),5,0))</f>
        <v/>
      </c>
      <c r="AK33" s="157"/>
      <c r="AL33" s="157" t="str">
        <f>IF($AL$3="","",IF($AL$3=AL32,2,0)+IF($AM$3=AM32,2,0)+IF(OR(AND($AL$3&gt;$AM$3,AL32 &gt; AM32),AND($AL$3 &lt; $AM$3,AL32&lt;AM32),AND($AL$3 = $AM$3,AL32 = AM32)),5,0))</f>
        <v/>
      </c>
      <c r="AM33" s="157"/>
      <c r="AN33" s="157" t="str">
        <f>IF($AN$3="","",IF($AN$3=AN32,2,0)+IF($AO$3=AO32,2,0)+IF(OR(AND($AN$3&gt;$AO$3,AN32 &gt; AO32),AND($AN$3 &lt; $AO$3,AN32&lt;AO32),AND($AN$3 = $AO$3,AN32 = AO32)),5,0))</f>
        <v/>
      </c>
      <c r="AO33" s="157"/>
      <c r="AP33" s="157" t="str">
        <f>IF($AP$3="","",IF($AP$3=AP32,2,0)+IF($AQ$3=AQ32,2,0)+IF(OR(AND($AP$3&gt;$AQ$3,AP32 &gt; AQ32),AND($AP$3 &lt; $AQ$3,AP32&lt;AQ32),AND($AP$3 = $AQ$3,AP32 = AQ32)),5,0))</f>
        <v/>
      </c>
      <c r="AQ33" s="157"/>
      <c r="AR33" s="157" t="str">
        <f>IF($AR$3="","",IF($AR$3=AR32,2,0)+IF($AS$3=AS32,2,0)+IF(OR(AND($AR$3&gt;$AS$3,AR32 &gt; AS32),AND($AR$3 &lt; $AS$3,AR32&lt;AS32),AND($AR$3 = $AS$3,AR32 = AS32)),5,0))</f>
        <v/>
      </c>
      <c r="AS33" s="157"/>
      <c r="AT33" s="157" t="str">
        <f>IF($AT$3="","",IF($AT$3=AT32,2,0)+IF($AU$3=AU32,2,0)+IF(OR(AND($AT$3&gt;$AU$3,AT32 &gt; AU32),AND($AT$3 &lt; $AU$3,AT32&lt;AU32),AND($AT$3 = $AU$3,AT32 = AU32)),5,0))</f>
        <v/>
      </c>
      <c r="AU33" s="157"/>
      <c r="AV33" s="157" t="str">
        <f>IF($AV$3="","",IF($AV$3=AV32,2,0)+IF($AW$3=AW32,2,0)+IF(OR(AND($AV$3&gt;$AW$3,AV32 &gt; AW32),AND($AV$3 &lt; $AW$3,AV32&lt;AW32),AND($AV$3 = $AW$3,AV32 = AW32)),5,0))</f>
        <v/>
      </c>
      <c r="AW33" s="157"/>
      <c r="AX33" s="157" t="str">
        <f>IF($AX$3="","",IF($AX$3=AX32,2,0)+IF($AY$3=AY32,2,0)+IF(OR(AND($AX$3&gt;$AY$3,AX32 &gt; AY32),AND($AX$3 &lt; $AY$3,AX32&lt;AY32),AND($AX$3 = $AY$3,AX32 = AY32)),5,0))</f>
        <v/>
      </c>
      <c r="AY33" s="157"/>
      <c r="AZ33" s="157" t="str">
        <f>IF($AZ$3="","",IF($AZ$3=AZ32,2,0)+IF($BA$3=BA32,2,0)+IF(OR(AND($AZ$3&gt;$BA$3,AZ32 &gt; BA32),AND($AZ$3 &lt; $BA$3,AZ32&lt;BA32),AND($AZ$3 = $BA$3,AZ32 = BA32)),5,0))</f>
        <v/>
      </c>
      <c r="BA33" s="157"/>
      <c r="BB33" s="157" t="str">
        <f>IF($BB$3="","",IF($BB$3=BB32,2,0)+IF($BC$3=BC32,2,0)+IF(OR(AND($BB$3&gt;$BC$3,BB32 &gt; BC32),AND($BB$3 &lt; $BC$3,BB32&lt;BC32),AND($BB$3 = $BC$3,BB32 = BC32)),5,0))</f>
        <v/>
      </c>
      <c r="BC33" s="157"/>
      <c r="BD33" s="157" t="str">
        <f>IF($BD$3="","",IF($BD$3=BD32,2,0)+IF($BE$3=BE32,2,0)+IF(OR(AND($BD$3&gt;$BE$3,BD32 &gt; BE32),AND($BD$3 &lt; $BE$3,BD32&lt;BE32),AND($BD$3 = $BE$3,BD32 = BE32)),5,0))</f>
        <v/>
      </c>
      <c r="BE33" s="157"/>
      <c r="BF33" s="157" t="str">
        <f>IF($BF$3="","",IF($BF$3=BF32,2,0)+IF($BG$3=BG32,2,0)+IF(OR(AND($BF$3&gt;$BG$3,BF32 &gt; BG32),AND($BF$3 &lt; $BG$3,BF32&lt;BG32),AND($BF$3 = $BG$3,BF32 = BG32)),5,0))</f>
        <v/>
      </c>
      <c r="BG33" s="157"/>
      <c r="BH33" s="157" t="str">
        <f>IF($BH$3="","",IF($BH$3=BH32,2,0)+IF($BI$3=BI32,2,0)+IF(OR(AND($BH$3&gt;$BI$3,BH32 &gt; BI32),AND($BH$3 &lt; $BI$3,BH32&lt;BI32),AND($BH$3 = $BI$3,BH32 = BI32)),5,0))</f>
        <v/>
      </c>
      <c r="BI33" s="157"/>
      <c r="BJ33" s="157" t="str">
        <f>IF($BJ$3="","",IF($BJ$3=BJ32,2,0)+IF($BK$3=BK32,2,0)+IF(OR(AND($BJ$3&gt;$BK$3,BJ32 &gt; BK32),AND($BJ$3 &lt; $BK$3,BJ32&lt;BK32),AND($BJ$3 = $BK$3,BJ32 = BK32)),5,0))</f>
        <v/>
      </c>
      <c r="BK33" s="157"/>
      <c r="BL33" s="157" t="str">
        <f>IF($BL$3="","",IF($BL$3=BL32,2,0)+IF($BM$3=BM32,2,0)+IF(OR(AND($BL$3&gt;$BM$3,BL32 &gt; BM32),AND($BL$3 &lt; $BM$3,BL32&lt;BM32),AND($BL$3 = $BM$3,BL32 = BM32)),5,0))</f>
        <v/>
      </c>
      <c r="BM33" s="154"/>
      <c r="BN33" s="156" t="str">
        <f>IF($BN$3="","",IF($BN$3=BN32,2,0)+IF($BO$3=BO32,2,0)+IF(OR(AND($BN$3&gt;$BO$3,BN32 &gt; BO32),AND($BN$3 &lt; $BO$3,BN32&lt;BO32),AND($BN$3 = $BO$3,BN32 = BO32)),5,0))</f>
        <v/>
      </c>
      <c r="BO33" s="157"/>
      <c r="BP33" s="157" t="str">
        <f>IF($BP$3="","",IF($BP$3=BP32,2,0)+IF($BQ$3=BQ32,2,0)+IF(OR(AND($BP$3&gt;$BQ$3,BP32 &gt; BQ32),AND($BP$3 &lt; $BQ$3,BP32&lt;BQ32),AND($BP$3 = $BQ$3,BP32 = BQ32)),5,0))</f>
        <v/>
      </c>
      <c r="BQ33" s="157"/>
      <c r="BR33" s="157" t="str">
        <f>IF($BR$3="","",IF($BR$3=BR32,2,0)+IF($BS$3=BS32,2,0)+IF(OR(AND($BR$3&gt;$BS$3,BR32 &gt; BS32),AND($BR$3 &lt; $BS$3,BR32&lt;BS32),AND($BR$3 = $BS$3,BR32 = BS32)),5,0))</f>
        <v/>
      </c>
      <c r="BS33" s="157"/>
      <c r="BT33" s="157" t="str">
        <f>IF($BT$3="","",IF($BT$3=BT32,2,0)+IF($BU$3=BU32,2,0)+IF(OR(AND($BT$3&gt;$BU$3,BT32 &gt; BU32),AND($BT$3 &lt; $BU$3,BT32&lt;BU32),AND($BT$3 = $BU$3,BT32 = BU32)),5,0))</f>
        <v/>
      </c>
      <c r="BU33" s="157"/>
      <c r="BV33" s="157" t="str">
        <f>IF($BV$3="","",IF($BV$3=BV32,2,0)+IF($BW$3=BW32,2,0)+IF(OR(AND($BV$3&gt;$BW$3,BV32 &gt; BW32),AND($BV$3 &lt; $BW$3,BV32&lt;BW32),AND($BV$3 = $BW$3,BV32 = BW32)),5,0))</f>
        <v/>
      </c>
      <c r="BW33" s="157"/>
      <c r="BX33" s="157" t="str">
        <f>IF($BX$3="","",IF($BX$3=BX32,2,0)+IF($BY$3=BY32,2,0)+IF(OR(AND($BX$3&gt;$BY$3,BX32 &gt; BY32),AND($BX$3 &lt; $BY$3,BX32&lt;BY32),AND($BX$3 = $BY$3,BX32 = BY32)),5,0))</f>
        <v/>
      </c>
      <c r="BY33" s="157"/>
      <c r="BZ33" s="157" t="str">
        <f>IF($BZ$3="","",IF($BZ$3=BZ32,2,0)+IF($CA$3=CA32,2,0)+IF(OR(AND($BZ$3&gt;$CA$3,BZ32 &gt; CA32),AND($BZ$3 &lt; $CA$3,BZ32&lt;CA32),AND($BZ$3 = $CA$3,BZ32 = CA32)),5,0))</f>
        <v/>
      </c>
      <c r="CA33" s="157"/>
      <c r="CB33" s="157" t="str">
        <f>IF($CB$3="","",IF($CB$3=CB32,2,0)+IF($CC$3=CC32,2,0)+IF(OR(AND($CB$3&gt;$CC$3,CB32 &gt; CC32),AND($CB$3 &lt; $CC$3,CB32&lt;CC32),AND($CB$3 = $CC$3,CB32 = CC32)),5,0))</f>
        <v/>
      </c>
      <c r="CC33" s="157"/>
      <c r="CD33" s="157" t="str">
        <f>IF($CD$3="","",IF($CD$3=CD32,2,0)+IF($CE$3=CE32,2,0)+IF(OR(AND($CD$3&gt;$CE$3,CD32 &gt; CE32),AND($CD$3 &lt; $CE$3,CD32&lt;$CE$5),AND($CD$3 = $CE$3,CD32 = CE32)),5,0))</f>
        <v/>
      </c>
      <c r="CE33" s="157"/>
      <c r="CF33" s="157" t="str">
        <f>IF($CF$3="","",IF($CF$3=CF32,2,0)+IF($CG$3=CG32,2,0)+IF(OR(AND($CF$3&gt;$CG$3,CF32 &gt; CG32),AND($CF$3 &lt; $CG$3,CF32&lt;CG32),AND($CF$3 = $CG$3,CF32 = CG32)),5,0))</f>
        <v/>
      </c>
      <c r="CG33" s="157"/>
      <c r="CH33" s="157" t="str">
        <f>IF($CH$3="","",IF($CH$3=CH32,2,0)+IF($CI$3=CI32,2,0)+IF(OR(AND($CH$3&gt;$CI$3,CH32 &gt; CI32),AND($CH$3 &lt; $CI$3,CH32&lt;CI32),AND($CH$3 = $CI$3,CH32 = CI32)),5,0))</f>
        <v/>
      </c>
      <c r="CI33" s="157"/>
      <c r="CJ33" s="157" t="str">
        <f>IF($CJ$3="","",IF($CJ$3=CJ32,2,0)+IF($CK$3=CK32,2,0)+IF(OR(AND($CJ$3&gt;$CK$3,CJ32 &gt; CK32),AND($CJ$3 &lt; $CK$3,CJ32&lt;CK32),AND($CJ$3 = $CK$3,CJ32 = CK32)),5,0))</f>
        <v/>
      </c>
      <c r="CK33" s="157"/>
      <c r="CL33" s="157" t="str">
        <f>IF($CL$3="","",IF($CL$3=CL32,2,0)+IF($CM$3=CM32,2,0)+IF(OR(AND($CL$3&gt;$CM$3,CL32 &gt; CM32),AND($CL$3 &lt; $CM$3,CL32&lt;CM32),AND($CL$3 = $CM$3,CL32 = CM32)),5,0))</f>
        <v/>
      </c>
      <c r="CM33" s="157"/>
      <c r="CN33" s="157" t="str">
        <f>IF($CN$3="","",IF($CN$3=CN32,2,0)+IF($CO$3=CO32,2,0)+IF(OR(AND($CN$3&gt;$CO$3,CN32 &gt; CO32),AND($CN$3 &lt; $CO$3,CN32&lt;CO32),AND($CN$3 = $CO$3,CN32 = CO32)),5,0))</f>
        <v/>
      </c>
      <c r="CO33" s="157"/>
      <c r="CP33" s="157" t="str">
        <f>IF($CP$3="","",IF($CP$3=CP32,2,0)+IF($CQ$3=CQ32,2,0)+IF(OR(AND($CP$3&gt;$CQ$3,CP32 &gt; CQ32),AND($CP$3 &lt; $CQ$3,CP32&lt;CQ32),AND($CP$3 = $CQ$3,CP32 = CQ32)),5,0))</f>
        <v/>
      </c>
      <c r="CQ33" s="157"/>
      <c r="CR33" s="157" t="str">
        <f>IF($CR$3="","",IF($CR$3=CR32,2,0)+IF($CS$3=CS32,2,0)+IF(OR(AND($CR$3&gt;$CS$3,CR32 &gt; CS32),AND($CR$3 &lt; $CS$3,CR32&lt;CS32),AND($CR$3 = $CS$3,CR32 = CS32)),5,0))</f>
        <v/>
      </c>
      <c r="CS33" s="154"/>
      <c r="CT33" s="24">
        <f>SUM(B33:CS33)</f>
        <v>14</v>
      </c>
      <c r="CU33" s="12">
        <f>IF(AND(CW31=$CW$2,CW31&lt;&gt;""),2,0)+IF(AND(CX31=$CX$2,CX31&lt;&gt;""),2,0)+IF(AND(CY31=$CY$2,CY31&lt;&gt;""),2,0)+IF(AND(CZ31=$CZ$2,CZ31&lt;&gt;""),2,0)+IF(AND(DA31=$DA$2,DA31&lt;&gt;""),2,0)+IF(AND(DB31=$DB$2,DB31&lt;&gt;""),2,0)+IF(AND(DC31=$DC$2,DC31&lt;&gt;""),2,0)+IF(AND(DD31=$DD$2,DD31&lt;&gt;""),2,0)+IF(AND(DE31=$DE$2,DE31&lt;&gt;""),2,0)+IF(AND(DF31=$DF$2,DF31&lt;&gt;""),2,0)+IF(AND(DG31=$DG$2,DG31&lt;&gt;""),2,0)+IF(AND(DH31=$DH$2,DH31&lt;&gt;""),2,0)+IF(AND(DI31=$DI$2,DI31&lt;&gt;""),2,0)+IF(AND(DJ31=$DJ$2,DJ31&lt;&gt;""),2,0)+IF(AND(DK31=$DK$2,DK31&lt;&gt;""),2,0)+IF(AND(DL31=$DL$2,DL31&lt;&gt;""),2,0)</f>
        <v>0</v>
      </c>
      <c r="CV33" s="11">
        <f>CT33+CU33</f>
        <v>14</v>
      </c>
      <c r="CW33" s="156" t="str">
        <f>IF($CW$3="","",IF($CW$3=CW32,2,0)+IF($CX$3=CX32,2,0)+IF(OR(AND($CW$3&gt;$CX$3,CW32 &gt; CX32),AND($CW$3 &lt; $CX$3,CW32&lt;CX32),AND($CW$3 = $CX$3,CW32 = CX32)),5,0))</f>
        <v/>
      </c>
      <c r="CX33" s="157"/>
      <c r="CY33" s="157" t="str">
        <f>IF($CY$3="","",IF($CY$3=CY32,2,0)+IF($CZ$3=CZ32,2,0)+IF(OR(AND($CY$3&gt;$CZ$3,CY32 &gt; CZ32),AND($CY$3 &lt; $CZ$3,CY32&lt;CZ32),AND($CY$3 = $CZ$3,CY32 = CZ32)),5,0))</f>
        <v/>
      </c>
      <c r="CZ33" s="157"/>
      <c r="DA33" s="157" t="str">
        <f>IF($DA30="","",IF($DA$3=DA32,2,0)+IF($DB$3=DB32,2,0)+IF(OR(AND($DA$3&gt;$DB$3,DA32 &gt; DB32),AND($DA$3 &lt; $DB$3,DA32&lt;DB32),AND($DA$3 = $DB$3,DA32 = DB32)),5,0))</f>
        <v/>
      </c>
      <c r="DB33" s="157"/>
      <c r="DC33" s="157" t="str">
        <f>IF($DC$3="","",IF($DC$3=DC32,2,0)+IF($DD$3=DD32,2,0)+IF(OR(AND($DC$3&gt;$DD$3,DC32 &gt; DD32),AND($DC$3 &lt; $DD$3,DC32&lt;DD32),AND($DC$3 = $DD$3,DC32 = DD32)),5,0))</f>
        <v/>
      </c>
      <c r="DD33" s="157"/>
      <c r="DE33" s="157" t="str">
        <f>IF($DE$3="","",IF($DE$3=DE32,2,0)+IF($DF$3=DF32,2,0)+IF(OR(AND($DE$3&gt;$DF$3,DE32 &gt; DF32),AND($DE$3 &lt; $DF$3,DE32&lt;DF32),AND($DE$3 = $DF$3,DE32 = DF32)),5,0))</f>
        <v/>
      </c>
      <c r="DF33" s="157"/>
      <c r="DG33" s="157" t="str">
        <f>IF($DG$3="","",IF($DG$3=DG32,2,0)+IF($DH$3=DH32,2,0)+IF(OR(AND($DG$3&gt;$DH$3,DG32 &gt; DH32),AND($DG$3 &lt; $DH$3,DG32&lt;DH32),AND($DG$3 = $DH$3,DG32 = DH32)),5,0))</f>
        <v/>
      </c>
      <c r="DH33" s="157"/>
      <c r="DI33" s="157" t="str">
        <f>IF($DI$3="","",IF($DI$3=DI32,2,0)+IF($DJ$3=DJ32,2,0)+IF(OR(AND($DI$3&gt;$DJ$3,DI32 &gt; DJ32),AND($DI$3 &lt; $DJ$3,DI32&lt;DJ32),AND($DI$3 = $DJ$3,DI32 = DJ32)),5,0))</f>
        <v/>
      </c>
      <c r="DJ33" s="157"/>
      <c r="DK33" s="157" t="str">
        <f>IF($DK$3="","",IF($DK$3=DK32,2,0)+IF($DL$3=DL32,2,0)+IF(OR(AND($DK$3&gt;$DL$3,DK32 &gt; DL32),AND($DK$3 &lt; $DL$3,DK32&lt;DL32),AND($DK$3 = $DL$3,DK32 = DL32)),5,0))</f>
        <v/>
      </c>
      <c r="DL33" s="154"/>
      <c r="DM33" s="24">
        <f>SUM(CW33:DL33)</f>
        <v>0</v>
      </c>
      <c r="DN33" s="12">
        <f>IF(AND(DP31=$DP$2,DP31&lt;&gt;""),2,0)+IF(AND(DQ31=$DQ$2,DQ31&lt;&gt;""),2,0)+IF(AND(DR31=$DR$2,DR31&lt;&gt;""),2,0)+IF(AND(DS31=$DS$2,DS31&lt;&gt;""),2,0)+IF(AND(DT31=$DT$2,DT31&lt;&gt;""),2,0)+IF(AND(DU31=$DU$2,DU31&lt;&gt;""),2,0)+IF(AND(DV31=$DV$2,DV31&lt;&gt;""),2,0)+IF(AND(DW31=$DW$2,DW31&lt;&gt;""),2,0)</f>
        <v>0</v>
      </c>
      <c r="DO33" s="11">
        <f>CV33+DM33+DN33</f>
        <v>14</v>
      </c>
      <c r="DP33" s="159" t="str">
        <f>IF($DP$3="","",IF($DP$3=DP32,2,0)+IF($DQ$3=DQ32,2,0)+IF(OR(AND($DP$3&gt;$DQ$3,DP32 &gt; DQ32),AND($DP$3 &lt; $DQ$3,DP32&lt;DQ32),AND($DP$3 = $DQ$3,DP32 = DQ32)),5,0))</f>
        <v/>
      </c>
      <c r="DQ33" s="160"/>
      <c r="DR33" s="154" t="str">
        <f>IF($DR$3="","",IF($DR$3=DR32,2,0)+IF($DS$3=DS32,2,0)+IF(OR(AND($DR$3&gt;$DS$3,DR32 &gt; DS32),AND($DR$3 &lt; $DS$3,DR32&lt;DS32),AND($DR$3 = $DS$3,DR32 = DS32)),5,0))</f>
        <v/>
      </c>
      <c r="DS33" s="160"/>
      <c r="DT33" s="154" t="str">
        <f>IF($DT$3="","",IF($DT$3=DT32,2,0)+IF($DU$3=DU32,2,0)+IF(OR(AND($DT$3&gt;$DU$3,DT32 &gt; DU32),AND($DT$3 &lt; $DU$3,DT32&lt;DU32),AND($DT$3 = $DU$3,DT32 = DU32)),5,0))</f>
        <v/>
      </c>
      <c r="DU33" s="160"/>
      <c r="DV33" s="154" t="str">
        <f>IF($DV$3="","",IF($DV30=DV32,2,0)+IF($DW$3=DW32,2,0)+IF(OR(AND($DV$3&gt;$DW$3,DV32 &gt; DW32),AND($DV$3 &lt; $DW$3,DV32&lt;DW32),AND($DV$3 = $DW$3,DV32 = DW32)),5,0))</f>
        <v/>
      </c>
      <c r="DW33" s="155"/>
      <c r="DX33" s="24">
        <f>SUM(DP33:DW33)</f>
        <v>0</v>
      </c>
      <c r="DY33" s="12">
        <f>IF(AND(EA31=$EA$2,EA31&lt;&gt;""),3,0)+IF(AND(EB31=$EB$2,EB31&lt;&gt;""),3,0)+IF(AND(EC31=$EC$2,EC31&lt;&gt;""),3,0)+IF(AND(ED31=$ED$2,ED31&lt;&gt;""),3,0)</f>
        <v>0</v>
      </c>
      <c r="DZ33" s="11">
        <f>DO33+DX33+DY33</f>
        <v>14</v>
      </c>
      <c r="EA33" s="156" t="str">
        <f>IF($EA$3="","",IF($EA$3=EA32,2,0)+IF($EB$3=EB32,2,0)+IF(OR(AND($EA$3&gt;$EB$3,EA32 &gt; EB32),AND($EA$3 &lt; $EB$3,EA32&lt;EB32),AND($EA$3 = $EB$3,EA32 = EB32)),5,0))</f>
        <v/>
      </c>
      <c r="EB33" s="157"/>
      <c r="EC33" s="157" t="str">
        <f>IF($EC$3="","",IF($EC$3=EC32,2,0)+IF($ED$3=ED32,2,0)+IF(OR(AND($EC$3&gt;$ED$3,EC32 &gt; ED32),AND($EC$3 &lt; $ED$3,EC32&lt;ED32),AND($EC$3 = $ED$3,EC32 = ED32)),5,0))</f>
        <v/>
      </c>
      <c r="ED33" s="154"/>
      <c r="EE33" s="24">
        <f>SUM(EA33:ED33)</f>
        <v>0</v>
      </c>
      <c r="EF33" s="12">
        <f>IF(AND(EH31=$EH$2,EH31&lt;&gt;""),3,0)+IF(AND(EI31=$EI$2,EI31&lt;&gt;""),3,0)</f>
        <v>0</v>
      </c>
      <c r="EG33" s="11">
        <f>DZ33+EE33+EF33</f>
        <v>14</v>
      </c>
      <c r="EH33" s="156" t="str">
        <f>IF($EH$3="","",IF($EH$3=EH32,2,0)+IF($EI$3=EI32,2,0)+IF(OR(AND($EH$3&gt;$EI$3,EH32 &gt; EI32),AND($EH$3 &lt; $EI$3,EH32&lt;EI32),AND($EH$3 = $EI$3,EH32 = EI32)),5,0))</f>
        <v/>
      </c>
      <c r="EI33" s="154"/>
      <c r="EJ33" s="24">
        <f>SUM(EH33:EI33)</f>
        <v>0</v>
      </c>
      <c r="EK33" s="12">
        <f>IF(AND(EM31=$EM$2,EM31&lt;&gt;""),5,0)+IF(AND(EN31=$EN$2,EN31&lt;&gt;""),5,0)</f>
        <v>0</v>
      </c>
      <c r="EL33" s="11">
        <f>EG33+EJ33+EK33</f>
        <v>14</v>
      </c>
      <c r="EM33" s="156" t="str">
        <f>IF($EM$3="","",IF($EM$3=EM32,2,0)+IF($EN$3=EN32,2,0)+IF(OR(AND($EM$3&gt;$EN$3,EM32 &gt; EN32),AND($EM$3 &lt; $EN$3,EM32&lt;EN32),AND($EM$3 = $EN$3,EM32 = EN32)),5,0))</f>
        <v/>
      </c>
      <c r="EN33" s="158"/>
      <c r="EO33" s="152"/>
      <c r="EP33" s="8" t="str">
        <f>EM33</f>
        <v/>
      </c>
      <c r="EQ33" s="20">
        <f>IF(AND(EO31=$EO$2,EO31&lt;&gt;""),10,0)</f>
        <v>0</v>
      </c>
      <c r="ER33" s="11" t="e">
        <f>EL33+EP33+EQ33</f>
        <v>#VALUE!</v>
      </c>
    </row>
    <row r="34" spans="1:148" s="145" customFormat="1" ht="24" thickBot="1" x14ac:dyDescent="0.35">
      <c r="A34" s="2"/>
      <c r="B34" s="43"/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6"/>
      <c r="AH34" s="43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6"/>
      <c r="BN34" s="43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17"/>
      <c r="CU34" s="18"/>
      <c r="CV34" s="19"/>
      <c r="CW34" s="78" t="s">
        <v>10</v>
      </c>
      <c r="CX34" s="77" t="s">
        <v>11</v>
      </c>
      <c r="CY34" s="76" t="s">
        <v>15</v>
      </c>
      <c r="CZ34" s="77" t="s">
        <v>21</v>
      </c>
      <c r="DA34" s="76" t="s">
        <v>19</v>
      </c>
      <c r="DB34" s="77" t="s">
        <v>18</v>
      </c>
      <c r="DC34" s="76" t="s">
        <v>12</v>
      </c>
      <c r="DD34" s="77" t="s">
        <v>7</v>
      </c>
      <c r="DE34" s="76" t="s">
        <v>23</v>
      </c>
      <c r="DF34" s="77" t="s">
        <v>29</v>
      </c>
      <c r="DG34" s="76" t="s">
        <v>31</v>
      </c>
      <c r="DH34" s="77" t="s">
        <v>35</v>
      </c>
      <c r="DI34" s="76" t="s">
        <v>27</v>
      </c>
      <c r="DJ34" s="77" t="s">
        <v>24</v>
      </c>
      <c r="DK34" s="76" t="s">
        <v>37</v>
      </c>
      <c r="DL34" s="77" t="s">
        <v>34</v>
      </c>
      <c r="DM34" s="14"/>
      <c r="DN34" s="15"/>
      <c r="DO34" s="16"/>
      <c r="DP34" s="79" t="s">
        <v>23</v>
      </c>
      <c r="DQ34" s="80" t="s">
        <v>31</v>
      </c>
      <c r="DR34" s="79" t="s">
        <v>11</v>
      </c>
      <c r="DS34" s="80" t="s">
        <v>15</v>
      </c>
      <c r="DT34" s="81" t="s">
        <v>12</v>
      </c>
      <c r="DU34" s="80" t="s">
        <v>19</v>
      </c>
      <c r="DV34" s="79" t="s">
        <v>27</v>
      </c>
      <c r="DW34" s="80" t="s">
        <v>37</v>
      </c>
      <c r="DX34" s="7"/>
      <c r="DY34" s="9"/>
      <c r="DZ34" s="10"/>
      <c r="EA34" s="82" t="s">
        <v>15</v>
      </c>
      <c r="EB34" s="83" t="s">
        <v>23</v>
      </c>
      <c r="EC34" s="84" t="s">
        <v>12</v>
      </c>
      <c r="ED34" s="83" t="s">
        <v>27</v>
      </c>
      <c r="EE34" s="7"/>
      <c r="EF34" s="9"/>
      <c r="EG34" s="10"/>
      <c r="EH34" s="85" t="s">
        <v>15</v>
      </c>
      <c r="EI34" s="86" t="s">
        <v>12</v>
      </c>
      <c r="EJ34" s="7"/>
      <c r="EK34" s="9"/>
      <c r="EL34" s="10"/>
      <c r="EM34" s="87" t="s">
        <v>23</v>
      </c>
      <c r="EN34" s="88" t="s">
        <v>27</v>
      </c>
      <c r="EO34" s="89" t="s">
        <v>44</v>
      </c>
      <c r="EP34" s="7"/>
      <c r="EQ34" s="9"/>
      <c r="ER34" s="10"/>
    </row>
    <row r="35" spans="1:148" s="151" customFormat="1" ht="16.5" thickBot="1" x14ac:dyDescent="0.35">
      <c r="A35" s="146" t="s">
        <v>57</v>
      </c>
      <c r="B35" s="92">
        <v>2</v>
      </c>
      <c r="C35" s="93">
        <v>1</v>
      </c>
      <c r="D35" s="94">
        <v>1</v>
      </c>
      <c r="E35" s="93">
        <v>3</v>
      </c>
      <c r="F35" s="94">
        <v>2</v>
      </c>
      <c r="G35" s="93">
        <v>3</v>
      </c>
      <c r="H35" s="94">
        <v>1</v>
      </c>
      <c r="I35" s="93">
        <v>1</v>
      </c>
      <c r="J35" s="94">
        <v>3</v>
      </c>
      <c r="K35" s="93">
        <v>0</v>
      </c>
      <c r="L35" s="94">
        <v>1</v>
      </c>
      <c r="M35" s="93">
        <v>2</v>
      </c>
      <c r="N35" s="94">
        <v>3</v>
      </c>
      <c r="O35" s="93">
        <v>0</v>
      </c>
      <c r="P35" s="94">
        <v>2</v>
      </c>
      <c r="Q35" s="93">
        <v>1</v>
      </c>
      <c r="R35" s="94">
        <v>3</v>
      </c>
      <c r="S35" s="93">
        <v>1</v>
      </c>
      <c r="T35" s="94">
        <v>0</v>
      </c>
      <c r="U35" s="93">
        <v>1</v>
      </c>
      <c r="V35" s="94">
        <v>3</v>
      </c>
      <c r="W35" s="93">
        <v>1</v>
      </c>
      <c r="X35" s="94">
        <v>2</v>
      </c>
      <c r="Y35" s="93">
        <v>2</v>
      </c>
      <c r="Z35" s="94">
        <v>2</v>
      </c>
      <c r="AA35" s="93">
        <v>0</v>
      </c>
      <c r="AB35" s="94">
        <v>1</v>
      </c>
      <c r="AC35" s="93">
        <v>3</v>
      </c>
      <c r="AD35" s="94">
        <v>2</v>
      </c>
      <c r="AE35" s="93">
        <v>1</v>
      </c>
      <c r="AF35" s="94">
        <v>3</v>
      </c>
      <c r="AG35" s="95">
        <v>1</v>
      </c>
      <c r="AH35" s="92">
        <v>2</v>
      </c>
      <c r="AI35" s="93">
        <v>2</v>
      </c>
      <c r="AJ35" s="94">
        <v>3</v>
      </c>
      <c r="AK35" s="93">
        <v>0</v>
      </c>
      <c r="AL35" s="94">
        <v>2</v>
      </c>
      <c r="AM35" s="93">
        <v>0</v>
      </c>
      <c r="AN35" s="94">
        <v>0</v>
      </c>
      <c r="AO35" s="93">
        <v>4</v>
      </c>
      <c r="AP35" s="94">
        <v>3</v>
      </c>
      <c r="AQ35" s="93">
        <v>1</v>
      </c>
      <c r="AR35" s="94">
        <v>1</v>
      </c>
      <c r="AS35" s="93">
        <v>1</v>
      </c>
      <c r="AT35" s="94">
        <v>3</v>
      </c>
      <c r="AU35" s="93">
        <v>2</v>
      </c>
      <c r="AV35" s="94">
        <v>1</v>
      </c>
      <c r="AW35" s="93">
        <v>0</v>
      </c>
      <c r="AX35" s="94">
        <v>2</v>
      </c>
      <c r="AY35" s="93">
        <v>0</v>
      </c>
      <c r="AZ35" s="94">
        <v>1</v>
      </c>
      <c r="BA35" s="93">
        <v>2</v>
      </c>
      <c r="BB35" s="94">
        <v>2</v>
      </c>
      <c r="BC35" s="93">
        <v>0</v>
      </c>
      <c r="BD35" s="94">
        <v>1</v>
      </c>
      <c r="BE35" s="93">
        <v>2</v>
      </c>
      <c r="BF35" s="94">
        <v>3</v>
      </c>
      <c r="BG35" s="93">
        <v>0</v>
      </c>
      <c r="BH35" s="94">
        <v>2</v>
      </c>
      <c r="BI35" s="93">
        <v>0</v>
      </c>
      <c r="BJ35" s="94">
        <v>2</v>
      </c>
      <c r="BK35" s="93">
        <v>3</v>
      </c>
      <c r="BL35" s="94">
        <v>1</v>
      </c>
      <c r="BM35" s="95">
        <v>1</v>
      </c>
      <c r="BN35" s="97">
        <v>1</v>
      </c>
      <c r="BO35" s="98">
        <v>2</v>
      </c>
      <c r="BP35" s="99">
        <v>2</v>
      </c>
      <c r="BQ35" s="98">
        <v>1</v>
      </c>
      <c r="BR35" s="99">
        <v>3</v>
      </c>
      <c r="BS35" s="98">
        <v>1</v>
      </c>
      <c r="BT35" s="99">
        <v>1</v>
      </c>
      <c r="BU35" s="98">
        <v>3</v>
      </c>
      <c r="BV35" s="99">
        <v>2</v>
      </c>
      <c r="BW35" s="98">
        <v>3</v>
      </c>
      <c r="BX35" s="99">
        <v>1</v>
      </c>
      <c r="BY35" s="98">
        <v>1</v>
      </c>
      <c r="BZ35" s="99">
        <v>1</v>
      </c>
      <c r="CA35" s="98">
        <v>3</v>
      </c>
      <c r="CB35" s="99">
        <v>2</v>
      </c>
      <c r="CC35" s="98">
        <v>2</v>
      </c>
      <c r="CD35" s="99">
        <v>0</v>
      </c>
      <c r="CE35" s="98">
        <v>0</v>
      </c>
      <c r="CF35" s="99">
        <v>1</v>
      </c>
      <c r="CG35" s="98">
        <v>4</v>
      </c>
      <c r="CH35" s="99">
        <v>2</v>
      </c>
      <c r="CI35" s="98">
        <v>3</v>
      </c>
      <c r="CJ35" s="99">
        <v>0</v>
      </c>
      <c r="CK35" s="98">
        <v>4</v>
      </c>
      <c r="CL35" s="99">
        <v>2</v>
      </c>
      <c r="CM35" s="98">
        <v>3</v>
      </c>
      <c r="CN35" s="99">
        <v>1</v>
      </c>
      <c r="CO35" s="98">
        <v>1</v>
      </c>
      <c r="CP35" s="99">
        <v>0</v>
      </c>
      <c r="CQ35" s="98">
        <v>2</v>
      </c>
      <c r="CR35" s="99">
        <v>0</v>
      </c>
      <c r="CS35" s="100">
        <v>1</v>
      </c>
      <c r="CT35" s="21"/>
      <c r="CU35" s="22"/>
      <c r="CV35" s="23"/>
      <c r="CW35" s="96">
        <v>4</v>
      </c>
      <c r="CX35" s="91">
        <v>5</v>
      </c>
      <c r="CY35" s="90">
        <v>2</v>
      </c>
      <c r="CZ35" s="91">
        <v>1</v>
      </c>
      <c r="DA35" s="90">
        <v>3</v>
      </c>
      <c r="DB35" s="91">
        <v>1</v>
      </c>
      <c r="DC35" s="90">
        <v>2</v>
      </c>
      <c r="DD35" s="91">
        <v>0</v>
      </c>
      <c r="DE35" s="90">
        <v>3</v>
      </c>
      <c r="DF35" s="91">
        <v>1</v>
      </c>
      <c r="DG35" s="90">
        <v>2</v>
      </c>
      <c r="DH35" s="91">
        <v>0</v>
      </c>
      <c r="DI35" s="90">
        <v>3</v>
      </c>
      <c r="DJ35" s="91">
        <v>1</v>
      </c>
      <c r="DK35" s="90">
        <v>2</v>
      </c>
      <c r="DL35" s="91">
        <v>1</v>
      </c>
      <c r="DM35" s="48"/>
      <c r="DN35" s="29"/>
      <c r="DO35" s="30"/>
      <c r="DP35" s="90">
        <v>2</v>
      </c>
      <c r="DQ35" s="91">
        <v>1</v>
      </c>
      <c r="DR35" s="90">
        <v>5</v>
      </c>
      <c r="DS35" s="91">
        <v>6</v>
      </c>
      <c r="DT35" s="90">
        <v>3</v>
      </c>
      <c r="DU35" s="91">
        <v>2</v>
      </c>
      <c r="DV35" s="90">
        <v>2</v>
      </c>
      <c r="DW35" s="91">
        <v>1</v>
      </c>
      <c r="DX35" s="27"/>
      <c r="DY35" s="25"/>
      <c r="DZ35" s="26"/>
      <c r="EA35" s="90">
        <v>1</v>
      </c>
      <c r="EB35" s="91">
        <v>3</v>
      </c>
      <c r="EC35" s="90">
        <v>2</v>
      </c>
      <c r="ED35" s="91">
        <v>3</v>
      </c>
      <c r="EE35" s="21"/>
      <c r="EF35" s="22"/>
      <c r="EG35" s="23"/>
      <c r="EH35" s="90">
        <v>1</v>
      </c>
      <c r="EI35" s="91">
        <v>2</v>
      </c>
      <c r="EJ35" s="21"/>
      <c r="EK35" s="22"/>
      <c r="EL35" s="23"/>
      <c r="EM35" s="90">
        <v>3</v>
      </c>
      <c r="EN35" s="91">
        <v>2</v>
      </c>
      <c r="EO35" s="153"/>
      <c r="EP35" s="21"/>
      <c r="EQ35" s="22"/>
      <c r="ER35" s="23"/>
    </row>
    <row r="36" spans="1:148" s="151" customFormat="1" ht="16.5" thickBot="1" x14ac:dyDescent="0.35">
      <c r="A36" s="42"/>
      <c r="B36" s="156">
        <f>IF($B$3="","",IF($B$3=B35,2,0)+IF($C$3=C35,2,0)+IF(OR(AND($B$3&gt;$C$3,B35 &gt; C35),AND($B$3 &lt; $C$3,B35&lt;C35),AND($B$3 = $C$3,B35 = C35)),5,0))</f>
        <v>5</v>
      </c>
      <c r="C36" s="161"/>
      <c r="D36" s="157">
        <f>IF($D$3="","",IF($D$3=D35,2,0)+IF($E$3=E35,2,0)+IF(OR(AND($D$3&gt;$E$3,D35 &gt; E35),AND($D$3 &lt; $E$3,D35&lt;E35),AND($D$3 = $E$3,D35 = E35)),5,0))</f>
        <v>5</v>
      </c>
      <c r="E36" s="157"/>
      <c r="F36" s="157" t="str">
        <f>IF($F$3="","",IF($F$3=F35,2,0)+IF($G$3=G35,2,0)+IF(OR(AND($F$3&gt;$G$3,F35 &gt; G35),AND($F$3 &lt; $G$3,F35&lt;G35),AND($F$3 = $G$3,F35 = G35)),5,0))</f>
        <v/>
      </c>
      <c r="G36" s="157"/>
      <c r="H36" s="157" t="str">
        <f>IF($H$3="","",IF($H$3=H35,2,0)+IF($I$3=I35,2,0)+IF(OR(AND($H$3&gt;$I$3,H35 &gt; I35),AND($H$3 &lt; $I$3,H35&lt;I35),AND($H$3 = $I$3,H35 = I35)),5,0))</f>
        <v/>
      </c>
      <c r="I36" s="157"/>
      <c r="J36" s="157" t="str">
        <f>IF($J$3="","",IF($J$3=J35,2,0)+IF($K$3=K35,2,0)+IF(OR(AND($J$3&gt;$K$3,J35 &gt; K35),AND($J$3 &lt; $K$3,J35&lt;K35),AND($J$3 = $K$3,J35 = K35)),5,0))</f>
        <v/>
      </c>
      <c r="K36" s="157"/>
      <c r="L36" s="157" t="str">
        <f>IF($L$3="","",IF($L$3=L35,2,0)+IF($M$3=M35,2,0)+IF(OR(AND($L$3&gt;$M$3,L35 &gt; M35),AND($L$3 &lt; $M$3,L35&lt;M35),AND($L$3 = $M$3,L35 = M35)),5,0))</f>
        <v/>
      </c>
      <c r="M36" s="157"/>
      <c r="N36" s="157" t="str">
        <f>IF($N$3="","",IF($N$3=N35,2,0)+IF($O$3=O35,2,0)+IF(OR(AND($N$3&gt;$O$3,N35 &gt; O35),AND($N$3 &lt; $O$3,N35&lt;O35),AND($N$3 = $O$3,N35 = O35)),5,0))</f>
        <v/>
      </c>
      <c r="O36" s="157"/>
      <c r="P36" s="157" t="str">
        <f>IF($P$3="","",IF($P$3=P35,2,0)+IF($Q$3=Q35,2,0)+IF(OR(AND($P$3&gt;$Q$3,P35 &gt; Q35),AND($P$3 &lt; $Q$3,P35&lt;Q35),AND($P$3 = $Q$3,P35 = Q35)),5,0))</f>
        <v/>
      </c>
      <c r="Q36" s="157"/>
      <c r="R36" s="157" t="str">
        <f>IF($R$3="","",IF($R$3=R35,2,0)+IF($S$3=S35,2,0)+IF(OR(AND($R$3&gt;$S$3,R35 &gt; S35),AND($R$3 &lt; $S$3,R35&lt;S35),AND($R$3 = $S$3,R35 = S35)),5,0))</f>
        <v/>
      </c>
      <c r="S36" s="157"/>
      <c r="T36" s="157" t="str">
        <f>IF($T$3="","",IF($T$3=T35,2,0)+IF($U$3=U35,2,0)+IF(OR(AND($T$3&gt;$U$3,T35 &gt; U35),AND($T$3 &lt; $U$3,T35&lt;U35),AND($T$3 = $U$3,T35 = U35)),5,0))</f>
        <v/>
      </c>
      <c r="U36" s="157"/>
      <c r="V36" s="157" t="str">
        <f>IF($V$3="","",IF($V$3=V35,2,0)+IF($W$3=W35,2,0)+IF(OR(AND($V$3&gt;$W$3,V35 &gt; W35),AND($V$3 &lt; $W$3,V35&lt;W35),AND($V$3 = $W$3,V35 = W35)),5,0))</f>
        <v/>
      </c>
      <c r="W36" s="157"/>
      <c r="X36" s="157" t="str">
        <f>IF($X$3="","",IF($X$3=X35,2,0)+IF($Y$3=Y35,2,0)+IF(OR(AND($X$3&gt;$Y$3,X35 &gt; Y35),AND($X$3 &lt; $Y$3,X35&lt;Y35),AND($X$3 = $Y$3,X35 = Y35)),5,0))</f>
        <v/>
      </c>
      <c r="Y36" s="157"/>
      <c r="Z36" s="157" t="str">
        <f>IF($Z$3="","",IF($Z$3=Z35,2,0)+IF($AA$3=AA35,2,0)+IF(OR(AND($Z$3&gt;$AA$3,Z35 &gt; AA35),AND($Z$3 &lt; $AA$3,Z35&lt;AA35),AND($Z$3 = $AA$3,Z35 = AA35)),5,0))</f>
        <v/>
      </c>
      <c r="AA36" s="157"/>
      <c r="AB36" s="157" t="str">
        <f>IF($AB$3="","",IF($AB$3=AB35,2,0)+IF($AC$3=AC35,2,0)+IF(OR(AND($AB$3&gt;$AC$3,AB35 &gt; AC35),AND($AB$3 &lt; $AC$3,AB35&lt;AC35),AND($AB$3 = $AC$3,AB35 = AC35)),5,0))</f>
        <v/>
      </c>
      <c r="AC36" s="157"/>
      <c r="AD36" s="157" t="str">
        <f>IF($AD$3="","",IF($AD$3=AD35,2,0)+IF($AE$3=AE35,2,0)+IF(OR(AND($AD$3&gt;$AE$3,AD35 &gt; AE35),AND($AD$3 &lt; $AE$3,AD35&lt;AE35),AND($AD$3 = $AE$3,AD35 = AE35)),5,0))</f>
        <v/>
      </c>
      <c r="AE36" s="157"/>
      <c r="AF36" s="157" t="str">
        <f>IF($AF$3="","",IF($AF$3=AF35,2,0)+IF($AG$3=AG35,2,0)+IF(OR(AND($AF$3&gt;$AG$3,AF35 &gt; AG35),AND($AF$3 &lt; $AG$3,AF35&lt;AG35),AND($AF$3 = $AG$3,AF35 = AG35)),5,0))</f>
        <v/>
      </c>
      <c r="AG36" s="158"/>
      <c r="AH36" s="160" t="str">
        <f>IF($AH$3="","",IF($AH$3=AH35,2,0)+IF($AI$3=AI35,2,0)+IF(OR(AND($AH$3&gt;$AI$3,AH35 &gt; AI35),AND($AH$3 &lt; $AI$3,AH35&lt;AI35),AND($AH$3 = $AI$3,AH35 = AI35)),5,0))</f>
        <v/>
      </c>
      <c r="AI36" s="157"/>
      <c r="AJ36" s="157" t="str">
        <f>IF($AJ$3="","",IF($AJ$3=AJ35,2,0)+IF($AK$3=AK35,2,0)+IF(OR(AND($AJ$3&gt;$AK$3,AJ35 &gt; AK35),AND($AJ$3 &lt; $AK$3,AJ35&lt;AK35),AND($AJ$3 = $AK$3,AJ35 = AK35)),5,0))</f>
        <v/>
      </c>
      <c r="AK36" s="157"/>
      <c r="AL36" s="157" t="str">
        <f>IF($AL$3="","",IF($AL$3=AL35,2,0)+IF($AM$3=AM35,2,0)+IF(OR(AND($AL$3&gt;$AM$3,AL35 &gt; AM35),AND($AL$3 &lt; $AM$3,AL35&lt;AM35),AND($AL$3 = $AM$3,AL35 = AM35)),5,0))</f>
        <v/>
      </c>
      <c r="AM36" s="157"/>
      <c r="AN36" s="157" t="str">
        <f>IF($AN$3="","",IF($AN$3=AN35,2,0)+IF($AO$3=AO35,2,0)+IF(OR(AND($AN$3&gt;$AO$3,AN35 &gt; AO35),AND($AN$3 &lt; $AO$3,AN35&lt;AO35),AND($AN$3 = $AO$3,AN35 = AO35)),5,0))</f>
        <v/>
      </c>
      <c r="AO36" s="157"/>
      <c r="AP36" s="157" t="str">
        <f>IF($AP$3="","",IF($AP$3=AP35,2,0)+IF($AQ$3=AQ35,2,0)+IF(OR(AND($AP$3&gt;$AQ$3,AP35 &gt; AQ35),AND($AP$3 &lt; $AQ$3,AP35&lt;AQ35),AND($AP$3 = $AQ$3,AP35 = AQ35)),5,0))</f>
        <v/>
      </c>
      <c r="AQ36" s="157"/>
      <c r="AR36" s="157" t="str">
        <f>IF($AR$3="","",IF($AR$3=AR35,2,0)+IF($AS$3=AS35,2,0)+IF(OR(AND($AR$3&gt;$AS$3,AR35 &gt; AS35),AND($AR$3 &lt; $AS$3,AR35&lt;AS35),AND($AR$3 = $AS$3,AR35 = AS35)),5,0))</f>
        <v/>
      </c>
      <c r="AS36" s="157"/>
      <c r="AT36" s="157" t="str">
        <f>IF($AT$3="","",IF($AT$3=AT35,2,0)+IF($AU$3=AU35,2,0)+IF(OR(AND($AT$3&gt;$AU$3,AT35 &gt; AU35),AND($AT$3 &lt; $AU$3,AT35&lt;AU35),AND($AT$3 = $AU$3,AT35 = AU35)),5,0))</f>
        <v/>
      </c>
      <c r="AU36" s="157"/>
      <c r="AV36" s="157" t="str">
        <f>IF($AV$3="","",IF($AV$3=AV35,2,0)+IF($AW$3=AW35,2,0)+IF(OR(AND($AV$3&gt;$AW$3,AV35 &gt; AW35),AND($AV$3 &lt; $AW$3,AV35&lt;AW35),AND($AV$3 = $AW$3,AV35 = AW35)),5,0))</f>
        <v/>
      </c>
      <c r="AW36" s="157"/>
      <c r="AX36" s="157" t="str">
        <f>IF($AX$3="","",IF($AX$3=AX35,2,0)+IF($AY$3=AY35,2,0)+IF(OR(AND($AX$3&gt;$AY$3,AX35 &gt; AY35),AND($AX$3 &lt; $AY$3,AX35&lt;AY35),AND($AX$3 = $AY$3,AX35 = AY35)),5,0))</f>
        <v/>
      </c>
      <c r="AY36" s="157"/>
      <c r="AZ36" s="157" t="str">
        <f>IF($AZ$3="","",IF($AZ$3=AZ35,2,0)+IF($BA$3=BA35,2,0)+IF(OR(AND($AZ$3&gt;$BA$3,AZ35 &gt; BA35),AND($AZ$3 &lt; $BA$3,AZ35&lt;BA35),AND($AZ$3 = $BA$3,AZ35 = BA35)),5,0))</f>
        <v/>
      </c>
      <c r="BA36" s="157"/>
      <c r="BB36" s="157" t="str">
        <f>IF($BB$3="","",IF($BB$3=BB35,2,0)+IF($BC$3=BC35,2,0)+IF(OR(AND($BB$3&gt;$BC$3,BB35 &gt; BC35),AND($BB$3 &lt; $BC$3,BB35&lt;BC35),AND($BB$3 = $BC$3,BB35 = BC35)),5,0))</f>
        <v/>
      </c>
      <c r="BC36" s="157"/>
      <c r="BD36" s="157" t="str">
        <f>IF($BD$3="","",IF($BD$3=BD35,2,0)+IF($BE$3=BE35,2,0)+IF(OR(AND($BD$3&gt;$BE$3,BD35 &gt; BE35),AND($BD$3 &lt; $BE$3,BD35&lt;BE35),AND($BD$3 = $BE$3,BD35 = BE35)),5,0))</f>
        <v/>
      </c>
      <c r="BE36" s="157"/>
      <c r="BF36" s="157" t="str">
        <f>IF($BF$3="","",IF($BF$3=BF35,2,0)+IF($BG$3=BG35,2,0)+IF(OR(AND($BF$3&gt;$BG$3,BF35 &gt; BG35),AND($BF$3 &lt; $BG$3,BF35&lt;BG35),AND($BF$3 = $BG$3,BF35 = BG35)),5,0))</f>
        <v/>
      </c>
      <c r="BG36" s="157"/>
      <c r="BH36" s="157" t="str">
        <f>IF($BH$3="","",IF($BH$3=BH35,2,0)+IF($BI$3=BI35,2,0)+IF(OR(AND($BH$3&gt;$BI$3,BH35 &gt; BI35),AND($BH$3 &lt; $BI$3,BH35&lt;BI35),AND($BH$3 = $BI$3,BH35 = BI35)),5,0))</f>
        <v/>
      </c>
      <c r="BI36" s="157"/>
      <c r="BJ36" s="157" t="str">
        <f>IF($BJ$3="","",IF($BJ$3=BJ35,2,0)+IF($BK$3=BK35,2,0)+IF(OR(AND($BJ$3&gt;$BK$3,BJ35 &gt; BK35),AND($BJ$3 &lt; $BK$3,BJ35&lt;BK35),AND($BJ$3 = $BK$3,BJ35 = BK35)),5,0))</f>
        <v/>
      </c>
      <c r="BK36" s="157"/>
      <c r="BL36" s="157" t="str">
        <f>IF($BL$3="","",IF($BL$3=BL35,2,0)+IF($BM$3=BM35,2,0)+IF(OR(AND($BL$3&gt;$BM$3,BL35 &gt; BM35),AND($BL$3 &lt; $BM$3,BL35&lt;BM35),AND($BL$3 = $BM$3,BL35 = BM35)),5,0))</f>
        <v/>
      </c>
      <c r="BM36" s="154"/>
      <c r="BN36" s="156" t="str">
        <f>IF($BN$3="","",IF($BN$3=BN35,2,0)+IF($BO$3=BO35,2,0)+IF(OR(AND($BN$3&gt;$BO$3,BN35 &gt; BO35),AND($BN$3 &lt; $BO$3,BN35&lt;BO35),AND($BN$3 = $BO$3,BN35 = BO35)),5,0))</f>
        <v/>
      </c>
      <c r="BO36" s="157"/>
      <c r="BP36" s="157" t="str">
        <f>IF($BP$3="","",IF($BP$3=BP35,2,0)+IF($BQ$3=BQ35,2,0)+IF(OR(AND($BP$3&gt;$BQ$3,BP35 &gt; BQ35),AND($BP$3 &lt; $BQ$3,BP35&lt;BQ35),AND($BP$3 = $BQ$3,BP35 = BQ35)),5,0))</f>
        <v/>
      </c>
      <c r="BQ36" s="157"/>
      <c r="BR36" s="157" t="str">
        <f>IF($BR$3="","",IF($BR$3=BR35,2,0)+IF($BS$3=BS35,2,0)+IF(OR(AND($BR$3&gt;$BS$3,BR35 &gt; BS35),AND($BR$3 &lt; $BS$3,BR35&lt;BS35),AND($BR$3 = $BS$3,BR35 = BS35)),5,0))</f>
        <v/>
      </c>
      <c r="BS36" s="157"/>
      <c r="BT36" s="157" t="str">
        <f>IF($BT$3="","",IF($BT$3=BT35,2,0)+IF($BU$3=BU35,2,0)+IF(OR(AND($BT$3&gt;$BU$3,BT35 &gt; BU35),AND($BT$3 &lt; $BU$3,BT35&lt;BU35),AND($BT$3 = $BU$3,BT35 = BU35)),5,0))</f>
        <v/>
      </c>
      <c r="BU36" s="157"/>
      <c r="BV36" s="157" t="str">
        <f>IF($BV$3="","",IF($BV$3=BV35,2,0)+IF($BW$3=BW35,2,0)+IF(OR(AND($BV$3&gt;$BW$3,BV35 &gt; BW35),AND($BV$3 &lt; $BW$3,BV35&lt;BW35),AND($BV$3 = $BW$3,BV35 = BW35)),5,0))</f>
        <v/>
      </c>
      <c r="BW36" s="157"/>
      <c r="BX36" s="157" t="str">
        <f>IF($BX$3="","",IF($BX$3=BX35,2,0)+IF($BY$3=BY35,2,0)+IF(OR(AND($BX$3&gt;$BY$3,BX35 &gt; BY35),AND($BX$3 &lt; $BY$3,BX35&lt;BY35),AND($BX$3 = $BY$3,BX35 = BY35)),5,0))</f>
        <v/>
      </c>
      <c r="BY36" s="157"/>
      <c r="BZ36" s="157" t="str">
        <f>IF($BZ$3="","",IF($BZ$3=BZ35,2,0)+IF($CA$3=CA35,2,0)+IF(OR(AND($BZ$3&gt;$CA$3,BZ35 &gt; CA35),AND($BZ$3 &lt; $CA$3,BZ35&lt;CA35),AND($BZ$3 = $CA$3,BZ35 = CA35)),5,0))</f>
        <v/>
      </c>
      <c r="CA36" s="157"/>
      <c r="CB36" s="157" t="str">
        <f>IF($CB$3="","",IF($CB$3=CB35,2,0)+IF($CC$3=CC35,2,0)+IF(OR(AND($CB$3&gt;$CC$3,CB35 &gt; CC35),AND($CB$3 &lt; $CC$3,CB35&lt;CC35),AND($CB$3 = $CC$3,CB35 = CC35)),5,0))</f>
        <v/>
      </c>
      <c r="CC36" s="157"/>
      <c r="CD36" s="157" t="str">
        <f>IF($CD$3="","",IF($CD$3=CD35,2,0)+IF($CE$3=CE35,2,0)+IF(OR(AND($CD$3&gt;$CE$3,CD35 &gt; CE35),AND($CD$3 &lt; $CE$3,CD35&lt;$CE$5),AND($CD$3 = $CE$3,CD35 = CE35)),5,0))</f>
        <v/>
      </c>
      <c r="CE36" s="157"/>
      <c r="CF36" s="157" t="str">
        <f>IF($CF$3="","",IF($CF$3=CF35,2,0)+IF($CG$3=CG35,2,0)+IF(OR(AND($CF$3&gt;$CG$3,CF35 &gt; CG35),AND($CF$3 &lt; $CG$3,CF35&lt;CG35),AND($CF$3 = $CG$3,CF35 = CG35)),5,0))</f>
        <v/>
      </c>
      <c r="CG36" s="157"/>
      <c r="CH36" s="157" t="str">
        <f>IF($CH$3="","",IF($CH$3=CH35,2,0)+IF($CI$3=CI35,2,0)+IF(OR(AND($CH$3&gt;$CI$3,CH35 &gt; CI35),AND($CH$3 &lt; $CI$3,CH35&lt;CI35),AND($CH$3 = $CI$3,CH35 = CI35)),5,0))</f>
        <v/>
      </c>
      <c r="CI36" s="157"/>
      <c r="CJ36" s="157" t="str">
        <f>IF($CJ$3="","",IF($CJ$3=CJ35,2,0)+IF($CK$3=CK35,2,0)+IF(OR(AND($CJ$3&gt;$CK$3,CJ35 &gt; CK35),AND($CJ$3 &lt; $CK$3,CJ35&lt;CK35),AND($CJ$3 = $CK$3,CJ35 = CK35)),5,0))</f>
        <v/>
      </c>
      <c r="CK36" s="157"/>
      <c r="CL36" s="157" t="str">
        <f>IF($CL$3="","",IF($CL$3=CL35,2,0)+IF($CM$3=CM35,2,0)+IF(OR(AND($CL$3&gt;$CM$3,CL35 &gt; CM35),AND($CL$3 &lt; $CM$3,CL35&lt;CM35),AND($CL$3 = $CM$3,CL35 = CM35)),5,0))</f>
        <v/>
      </c>
      <c r="CM36" s="157"/>
      <c r="CN36" s="157" t="str">
        <f>IF($CN$3="","",IF($CN$3=CN35,2,0)+IF($CO$3=CO35,2,0)+IF(OR(AND($CN$3&gt;$CO$3,CN35 &gt; CO35),AND($CN$3 &lt; $CO$3,CN35&lt;CO35),AND($CN$3 = $CO$3,CN35 = CO35)),5,0))</f>
        <v/>
      </c>
      <c r="CO36" s="157"/>
      <c r="CP36" s="157" t="str">
        <f>IF($CP$3="","",IF($CP$3=CP35,2,0)+IF($CQ$3=CQ35,2,0)+IF(OR(AND($CP$3&gt;$CQ$3,CP35 &gt; CQ35),AND($CP$3 &lt; $CQ$3,CP35&lt;CQ35),AND($CP$3 = $CQ$3,CP35 = CQ35)),5,0))</f>
        <v/>
      </c>
      <c r="CQ36" s="157"/>
      <c r="CR36" s="157" t="str">
        <f>IF($CR$3="","",IF($CR$3=CR35,2,0)+IF($CS$3=CS35,2,0)+IF(OR(AND($CR$3&gt;$CS$3,CR35 &gt; CS35),AND($CR$3 &lt; $CS$3,CR35&lt;CS35),AND($CR$3 = $CS$3,CR35 = CS35)),5,0))</f>
        <v/>
      </c>
      <c r="CS36" s="154"/>
      <c r="CT36" s="24">
        <f>SUM(B36:CS36)</f>
        <v>10</v>
      </c>
      <c r="CU36" s="12">
        <f>IF(AND(CW34=$CW$2,CW34&lt;&gt;""),2,0)+IF(AND(CX34=$CX$2,CX34&lt;&gt;""),2,0)+IF(AND(CY34=$CY$2,CY34&lt;&gt;""),2,0)+IF(AND(CZ34=$CZ$2,CZ34&lt;&gt;""),2,0)+IF(AND(DA34=$DA$2,DA34&lt;&gt;""),2,0)+IF(AND(DB34=$DB$2,DB34&lt;&gt;""),2,0)+IF(AND(DC34=$DC$2,DC34&lt;&gt;""),2,0)+IF(AND(DD34=$DD$2,DD34&lt;&gt;""),2,0)+IF(AND(DE34=$DE$2,DE34&lt;&gt;""),2,0)+IF(AND(DF34=$DF$2,DF34&lt;&gt;""),2,0)+IF(AND(DG34=$DG$2,DG34&lt;&gt;""),2,0)+IF(AND(DH34=$DH$2,DH34&lt;&gt;""),2,0)+IF(AND(DI34=$DI$2,DI34&lt;&gt;""),2,0)+IF(AND(DJ34=$DJ$2,DJ34&lt;&gt;""),2,0)+IF(AND(DK34=$DK$2,DK34&lt;&gt;""),2,0)+IF(AND(DL34=$DL$2,DL34&lt;&gt;""),2,0)</f>
        <v>0</v>
      </c>
      <c r="CV36" s="11">
        <f>CT36+CU36</f>
        <v>10</v>
      </c>
      <c r="CW36" s="156" t="str">
        <f>IF($CW$3="","",IF($CW$3=CW35,2,0)+IF($CX$3=CX35,2,0)+IF(OR(AND($CW$3&gt;$CX$3,CW35 &gt; CX35),AND($CW$3 &lt; $CX$3,CW35&lt;CX35),AND($CW$3 = $CX$3,CW35 = CX35)),5,0))</f>
        <v/>
      </c>
      <c r="CX36" s="157"/>
      <c r="CY36" s="157" t="str">
        <f>IF($CY$3="","",IF($CY$3=CY35,2,0)+IF($CZ$3=CZ35,2,0)+IF(OR(AND($CY$3&gt;$CZ$3,CY35 &gt; CZ35),AND($CY$3 &lt; $CZ$3,CY35&lt;CZ35),AND($CY$3 = $CZ$3,CY35 = CZ35)),5,0))</f>
        <v/>
      </c>
      <c r="CZ36" s="157"/>
      <c r="DA36" s="157" t="str">
        <f>IF($DA33="","",IF($DA$3=DA35,2,0)+IF($DB$3=DB35,2,0)+IF(OR(AND($DA$3&gt;$DB$3,DA35 &gt; DB35),AND($DA$3 &lt; $DB$3,DA35&lt;DB35),AND($DA$3 = $DB$3,DA35 = DB35)),5,0))</f>
        <v/>
      </c>
      <c r="DB36" s="157"/>
      <c r="DC36" s="157" t="str">
        <f>IF($DC$3="","",IF($DC$3=DC35,2,0)+IF($DD$3=DD35,2,0)+IF(OR(AND($DC$3&gt;$DD$3,DC35 &gt; DD35),AND($DC$3 &lt; $DD$3,DC35&lt;DD35),AND($DC$3 = $DD$3,DC35 = DD35)),5,0))</f>
        <v/>
      </c>
      <c r="DD36" s="157"/>
      <c r="DE36" s="157" t="str">
        <f>IF($DE$3="","",IF($DE$3=DE35,2,0)+IF($DF$3=DF35,2,0)+IF(OR(AND($DE$3&gt;$DF$3,DE35 &gt; DF35),AND($DE$3 &lt; $DF$3,DE35&lt;DF35),AND($DE$3 = $DF$3,DE35 = DF35)),5,0))</f>
        <v/>
      </c>
      <c r="DF36" s="157"/>
      <c r="DG36" s="157" t="str">
        <f>IF($DG$3="","",IF($DG$3=DG35,2,0)+IF($DH$3=DH35,2,0)+IF(OR(AND($DG$3&gt;$DH$3,DG35 &gt; DH35),AND($DG$3 &lt; $DH$3,DG35&lt;DH35),AND($DG$3 = $DH$3,DG35 = DH35)),5,0))</f>
        <v/>
      </c>
      <c r="DH36" s="157"/>
      <c r="DI36" s="157" t="str">
        <f>IF($DI$3="","",IF($DI$3=DI35,2,0)+IF($DJ$3=DJ35,2,0)+IF(OR(AND($DI$3&gt;$DJ$3,DI35 &gt; DJ35),AND($DI$3 &lt; $DJ$3,DI35&lt;DJ35),AND($DI$3 = $DJ$3,DI35 = DJ35)),5,0))</f>
        <v/>
      </c>
      <c r="DJ36" s="157"/>
      <c r="DK36" s="157" t="str">
        <f>IF($DK$3="","",IF($DK$3=DK35,2,0)+IF($DL$3=DL35,2,0)+IF(OR(AND($DK$3&gt;$DL$3,DK35 &gt; DL35),AND($DK$3 &lt; $DL$3,DK35&lt;DL35),AND($DK$3 = $DL$3,DK35 = DL35)),5,0))</f>
        <v/>
      </c>
      <c r="DL36" s="154"/>
      <c r="DM36" s="24">
        <f>SUM(CW36:DL36)</f>
        <v>0</v>
      </c>
      <c r="DN36" s="12">
        <f>IF(AND(DP34=$DP$2,DP34&lt;&gt;""),2,0)+IF(AND(DQ34=$DQ$2,DQ34&lt;&gt;""),2,0)+IF(AND(DR34=$DR$2,DR34&lt;&gt;""),2,0)+IF(AND(DS34=$DS$2,DS34&lt;&gt;""),2,0)+IF(AND(DT34=$DT$2,DT34&lt;&gt;""),2,0)+IF(AND(DU34=$DU$2,DU34&lt;&gt;""),2,0)+IF(AND(DV34=$DV$2,DV34&lt;&gt;""),2,0)+IF(AND(DW34=$DW$2,DW34&lt;&gt;""),2,0)</f>
        <v>0</v>
      </c>
      <c r="DO36" s="11">
        <f>CV36+DM36+DN36</f>
        <v>10</v>
      </c>
      <c r="DP36" s="159" t="str">
        <f>IF($DP$3="","",IF($DP$3=DP35,2,0)+IF($DQ$3=DQ35,2,0)+IF(OR(AND($DP$3&gt;$DQ$3,DP35 &gt; DQ35),AND($DP$3 &lt; $DQ$3,DP35&lt;DQ35),AND($DP$3 = $DQ$3,DP35 = DQ35)),5,0))</f>
        <v/>
      </c>
      <c r="DQ36" s="160"/>
      <c r="DR36" s="154" t="str">
        <f>IF($DR$3="","",IF($DR$3=DR35,2,0)+IF($DS$3=DS35,2,0)+IF(OR(AND($DR$3&gt;$DS$3,DR35 &gt; DS35),AND($DR$3 &lt; $DS$3,DR35&lt;DS35),AND($DR$3 = $DS$3,DR35 = DS35)),5,0))</f>
        <v/>
      </c>
      <c r="DS36" s="160"/>
      <c r="DT36" s="154" t="str">
        <f>IF($DT$3="","",IF($DT$3=DT35,2,0)+IF($DU$3=DU35,2,0)+IF(OR(AND($DT$3&gt;$DU$3,DT35 &gt; DU35),AND($DT$3 &lt; $DU$3,DT35&lt;DU35),AND($DT$3 = $DU$3,DT35 = DU35)),5,0))</f>
        <v/>
      </c>
      <c r="DU36" s="160"/>
      <c r="DV36" s="154" t="str">
        <f>IF($DV$3="","",IF($DV33=DV35,2,0)+IF($DW$3=DW35,2,0)+IF(OR(AND($DV$3&gt;$DW$3,DV35 &gt; DW35),AND($DV$3 &lt; $DW$3,DV35&lt;DW35),AND($DV$3 = $DW$3,DV35 = DW35)),5,0))</f>
        <v/>
      </c>
      <c r="DW36" s="155"/>
      <c r="DX36" s="24">
        <f>SUM(DP36:DW36)</f>
        <v>0</v>
      </c>
      <c r="DY36" s="12">
        <f>IF(AND(EA34=$EA$2,EA34&lt;&gt;""),3,0)+IF(AND(EB34=$EB$2,EB34&lt;&gt;""),3,0)+IF(AND(EC34=$EC$2,EC34&lt;&gt;""),3,0)+IF(AND(ED34=$ED$2,ED34&lt;&gt;""),3,0)</f>
        <v>0</v>
      </c>
      <c r="DZ36" s="11">
        <f>DO36+DX36+DY36</f>
        <v>10</v>
      </c>
      <c r="EA36" s="156" t="str">
        <f>IF($EA$3="","",IF($EA$3=EA35,2,0)+IF($EB$3=EB35,2,0)+IF(OR(AND($EA$3&gt;$EB$3,EA35 &gt; EB35),AND($EA$3 &lt; $EB$3,EA35&lt;EB35),AND($EA$3 = $EB$3,EA35 = EB35)),5,0))</f>
        <v/>
      </c>
      <c r="EB36" s="157"/>
      <c r="EC36" s="157" t="str">
        <f>IF($EC$3="","",IF($EC$3=EC35,2,0)+IF($ED$3=ED35,2,0)+IF(OR(AND($EC$3&gt;$ED$3,EC35 &gt; ED35),AND($EC$3 &lt; $ED$3,EC35&lt;ED35),AND($EC$3 = $ED$3,EC35 = ED35)),5,0))</f>
        <v/>
      </c>
      <c r="ED36" s="154"/>
      <c r="EE36" s="24">
        <f>SUM(EA36:ED36)</f>
        <v>0</v>
      </c>
      <c r="EF36" s="12">
        <f>IF(AND(EH34=$EH$2,EH34&lt;&gt;""),3,0)+IF(AND(EI34=$EI$2,EI34&lt;&gt;""),3,0)</f>
        <v>0</v>
      </c>
      <c r="EG36" s="11">
        <f>DZ36+EE36+EF36</f>
        <v>10</v>
      </c>
      <c r="EH36" s="156" t="str">
        <f>IF($EH$3="","",IF($EH$3=EH35,2,0)+IF($EI$3=EI35,2,0)+IF(OR(AND($EH$3&gt;$EI$3,EH35 &gt; EI35),AND($EH$3 &lt; $EI$3,EH35&lt;EI35),AND($EH$3 = $EI$3,EH35 = EI35)),5,0))</f>
        <v/>
      </c>
      <c r="EI36" s="154"/>
      <c r="EJ36" s="24">
        <f>SUM(EH36:EI36)</f>
        <v>0</v>
      </c>
      <c r="EK36" s="12">
        <f>IF(AND(EM34=$EM$2,EM34&lt;&gt;""),5,0)+IF(AND(EN34=$EN$2,EN34&lt;&gt;""),5,0)</f>
        <v>0</v>
      </c>
      <c r="EL36" s="11">
        <f>EG36+EJ36+EK36</f>
        <v>10</v>
      </c>
      <c r="EM36" s="156" t="str">
        <f>IF($EM$3="","",IF($EM$3=EM35,2,0)+IF($EN$3=EN35,2,0)+IF(OR(AND($EM$3&gt;$EN$3,EM35 &gt; EN35),AND($EM$3 &lt; $EN$3,EM35&lt;EN35),AND($EM$3 = $EN$3,EM35 = EN35)),5,0))</f>
        <v/>
      </c>
      <c r="EN36" s="158"/>
      <c r="EO36" s="152"/>
      <c r="EP36" s="8" t="str">
        <f>EM36</f>
        <v/>
      </c>
      <c r="EQ36" s="20">
        <f>IF(AND(EO34=$EO$2,EO34&lt;&gt;""),10,0)</f>
        <v>0</v>
      </c>
      <c r="ER36" s="11" t="e">
        <f>EL36+EP36+EQ36</f>
        <v>#VALUE!</v>
      </c>
    </row>
    <row r="37" spans="1:148" s="145" customFormat="1" ht="24" thickBot="1" x14ac:dyDescent="0.35">
      <c r="A37" s="2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6"/>
      <c r="AH37" s="43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6"/>
      <c r="BN37" s="43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17"/>
      <c r="CU37" s="18"/>
      <c r="CV37" s="19"/>
      <c r="CW37" s="78" t="s">
        <v>10</v>
      </c>
      <c r="CX37" s="77" t="s">
        <v>12</v>
      </c>
      <c r="CY37" s="76" t="s">
        <v>17</v>
      </c>
      <c r="CZ37" s="77" t="s">
        <v>21</v>
      </c>
      <c r="DA37" s="76" t="s">
        <v>19</v>
      </c>
      <c r="DB37" s="77" t="s">
        <v>15</v>
      </c>
      <c r="DC37" s="76" t="s">
        <v>11</v>
      </c>
      <c r="DD37" s="77" t="s">
        <v>7</v>
      </c>
      <c r="DE37" s="76" t="s">
        <v>23</v>
      </c>
      <c r="DF37" s="77" t="s">
        <v>28</v>
      </c>
      <c r="DG37" s="76" t="s">
        <v>34</v>
      </c>
      <c r="DH37" s="77" t="s">
        <v>36</v>
      </c>
      <c r="DI37" s="76" t="s">
        <v>27</v>
      </c>
      <c r="DJ37" s="77" t="s">
        <v>26</v>
      </c>
      <c r="DK37" s="76" t="s">
        <v>37</v>
      </c>
      <c r="DL37" s="77" t="s">
        <v>32</v>
      </c>
      <c r="DM37" s="14"/>
      <c r="DN37" s="15"/>
      <c r="DO37" s="16"/>
      <c r="DP37" s="79" t="s">
        <v>23</v>
      </c>
      <c r="DQ37" s="80" t="s">
        <v>34</v>
      </c>
      <c r="DR37" s="79" t="s">
        <v>12</v>
      </c>
      <c r="DS37" s="80" t="s">
        <v>21</v>
      </c>
      <c r="DT37" s="81" t="s">
        <v>11</v>
      </c>
      <c r="DU37" s="80" t="s">
        <v>19</v>
      </c>
      <c r="DV37" s="79" t="s">
        <v>27</v>
      </c>
      <c r="DW37" s="80" t="s">
        <v>37</v>
      </c>
      <c r="DX37" s="7"/>
      <c r="DY37" s="9"/>
      <c r="DZ37" s="10"/>
      <c r="EA37" s="82" t="s">
        <v>12</v>
      </c>
      <c r="EB37" s="83" t="s">
        <v>23</v>
      </c>
      <c r="EC37" s="84" t="s">
        <v>19</v>
      </c>
      <c r="ED37" s="83" t="s">
        <v>27</v>
      </c>
      <c r="EE37" s="7"/>
      <c r="EF37" s="9"/>
      <c r="EG37" s="10"/>
      <c r="EH37" s="85" t="s">
        <v>12</v>
      </c>
      <c r="EI37" s="86" t="s">
        <v>27</v>
      </c>
      <c r="EJ37" s="7"/>
      <c r="EK37" s="9"/>
      <c r="EL37" s="10"/>
      <c r="EM37" s="87" t="s">
        <v>23</v>
      </c>
      <c r="EN37" s="88" t="s">
        <v>19</v>
      </c>
      <c r="EO37" s="89" t="s">
        <v>59</v>
      </c>
      <c r="EP37" s="7"/>
      <c r="EQ37" s="9"/>
      <c r="ER37" s="10"/>
    </row>
    <row r="38" spans="1:148" s="151" customFormat="1" ht="16.5" thickBot="1" x14ac:dyDescent="0.35">
      <c r="A38" s="146" t="s">
        <v>58</v>
      </c>
      <c r="B38" s="92">
        <v>2</v>
      </c>
      <c r="C38" s="93">
        <v>1</v>
      </c>
      <c r="D38" s="94">
        <v>0</v>
      </c>
      <c r="E38" s="93">
        <v>3</v>
      </c>
      <c r="F38" s="94">
        <v>2</v>
      </c>
      <c r="G38" s="93">
        <v>1</v>
      </c>
      <c r="H38" s="94">
        <v>1</v>
      </c>
      <c r="I38" s="93">
        <v>0</v>
      </c>
      <c r="J38" s="94">
        <v>1</v>
      </c>
      <c r="K38" s="93">
        <v>0</v>
      </c>
      <c r="L38" s="94">
        <v>2</v>
      </c>
      <c r="M38" s="93">
        <v>1</v>
      </c>
      <c r="N38" s="94">
        <v>3</v>
      </c>
      <c r="O38" s="93">
        <v>0</v>
      </c>
      <c r="P38" s="94">
        <v>2</v>
      </c>
      <c r="Q38" s="93">
        <v>1</v>
      </c>
      <c r="R38" s="94">
        <v>3</v>
      </c>
      <c r="S38" s="93">
        <v>0</v>
      </c>
      <c r="T38" s="94">
        <v>1</v>
      </c>
      <c r="U38" s="93">
        <v>1</v>
      </c>
      <c r="V38" s="94">
        <v>3</v>
      </c>
      <c r="W38" s="93">
        <v>1</v>
      </c>
      <c r="X38" s="94">
        <v>1</v>
      </c>
      <c r="Y38" s="93">
        <v>1</v>
      </c>
      <c r="Z38" s="94">
        <v>1</v>
      </c>
      <c r="AA38" s="93">
        <v>2</v>
      </c>
      <c r="AB38" s="94">
        <v>1</v>
      </c>
      <c r="AC38" s="93">
        <v>3</v>
      </c>
      <c r="AD38" s="94">
        <v>1</v>
      </c>
      <c r="AE38" s="93">
        <v>2</v>
      </c>
      <c r="AF38" s="94">
        <v>2</v>
      </c>
      <c r="AG38" s="95">
        <v>0</v>
      </c>
      <c r="AH38" s="92">
        <v>1</v>
      </c>
      <c r="AI38" s="93">
        <v>1</v>
      </c>
      <c r="AJ38" s="94">
        <v>2</v>
      </c>
      <c r="AK38" s="93">
        <v>1</v>
      </c>
      <c r="AL38" s="94">
        <v>3</v>
      </c>
      <c r="AM38" s="93">
        <v>0</v>
      </c>
      <c r="AN38" s="94">
        <v>1</v>
      </c>
      <c r="AO38" s="93">
        <v>2</v>
      </c>
      <c r="AP38" s="94">
        <v>2</v>
      </c>
      <c r="AQ38" s="93">
        <v>2</v>
      </c>
      <c r="AR38" s="94">
        <v>1</v>
      </c>
      <c r="AS38" s="93">
        <v>2</v>
      </c>
      <c r="AT38" s="94">
        <v>1</v>
      </c>
      <c r="AU38" s="93">
        <v>0</v>
      </c>
      <c r="AV38" s="94">
        <v>2</v>
      </c>
      <c r="AW38" s="93">
        <v>0</v>
      </c>
      <c r="AX38" s="94">
        <v>2</v>
      </c>
      <c r="AY38" s="93">
        <v>0</v>
      </c>
      <c r="AZ38" s="94">
        <v>2</v>
      </c>
      <c r="BA38" s="93">
        <v>1</v>
      </c>
      <c r="BB38" s="94">
        <v>3</v>
      </c>
      <c r="BC38" s="93">
        <v>2</v>
      </c>
      <c r="BD38" s="94">
        <v>1</v>
      </c>
      <c r="BE38" s="93">
        <v>3</v>
      </c>
      <c r="BF38" s="94">
        <v>1</v>
      </c>
      <c r="BG38" s="93">
        <v>0</v>
      </c>
      <c r="BH38" s="94">
        <v>2</v>
      </c>
      <c r="BI38" s="93">
        <v>1</v>
      </c>
      <c r="BJ38" s="94">
        <v>0</v>
      </c>
      <c r="BK38" s="93">
        <v>1</v>
      </c>
      <c r="BL38" s="94">
        <v>1</v>
      </c>
      <c r="BM38" s="95">
        <v>1</v>
      </c>
      <c r="BN38" s="97">
        <v>1</v>
      </c>
      <c r="BO38" s="98">
        <v>0</v>
      </c>
      <c r="BP38" s="99">
        <v>1</v>
      </c>
      <c r="BQ38" s="98">
        <v>1</v>
      </c>
      <c r="BR38" s="99">
        <v>2</v>
      </c>
      <c r="BS38" s="98">
        <v>0</v>
      </c>
      <c r="BT38" s="99">
        <v>0</v>
      </c>
      <c r="BU38" s="98">
        <v>4</v>
      </c>
      <c r="BV38" s="99">
        <v>1</v>
      </c>
      <c r="BW38" s="98">
        <v>3</v>
      </c>
      <c r="BX38" s="99">
        <v>1</v>
      </c>
      <c r="BY38" s="98">
        <v>2</v>
      </c>
      <c r="BZ38" s="99">
        <v>1</v>
      </c>
      <c r="CA38" s="98">
        <v>3</v>
      </c>
      <c r="CB38" s="99">
        <v>1</v>
      </c>
      <c r="CC38" s="98">
        <v>1</v>
      </c>
      <c r="CD38" s="99">
        <v>1</v>
      </c>
      <c r="CE38" s="98">
        <v>2</v>
      </c>
      <c r="CF38" s="99">
        <v>1</v>
      </c>
      <c r="CG38" s="98">
        <v>2</v>
      </c>
      <c r="CH38" s="99">
        <v>2</v>
      </c>
      <c r="CI38" s="98">
        <v>0</v>
      </c>
      <c r="CJ38" s="99">
        <v>0</v>
      </c>
      <c r="CK38" s="98">
        <v>4</v>
      </c>
      <c r="CL38" s="99">
        <v>1</v>
      </c>
      <c r="CM38" s="98">
        <v>1</v>
      </c>
      <c r="CN38" s="99">
        <v>1</v>
      </c>
      <c r="CO38" s="98">
        <v>1</v>
      </c>
      <c r="CP38" s="99">
        <v>1</v>
      </c>
      <c r="CQ38" s="98">
        <v>1</v>
      </c>
      <c r="CR38" s="99">
        <v>2</v>
      </c>
      <c r="CS38" s="100">
        <v>1</v>
      </c>
      <c r="CT38" s="21"/>
      <c r="CU38" s="22"/>
      <c r="CV38" s="23"/>
      <c r="CW38" s="96">
        <v>0</v>
      </c>
      <c r="CX38" s="91">
        <v>1</v>
      </c>
      <c r="CY38" s="90">
        <v>1</v>
      </c>
      <c r="CZ38" s="91">
        <v>2</v>
      </c>
      <c r="DA38" s="90">
        <v>3</v>
      </c>
      <c r="DB38" s="91">
        <v>2</v>
      </c>
      <c r="DC38" s="90">
        <v>2</v>
      </c>
      <c r="DD38" s="91">
        <v>1</v>
      </c>
      <c r="DE38" s="90">
        <v>1</v>
      </c>
      <c r="DF38" s="91">
        <v>0</v>
      </c>
      <c r="DG38" s="90">
        <v>2</v>
      </c>
      <c r="DH38" s="91">
        <v>0</v>
      </c>
      <c r="DI38" s="90">
        <v>2</v>
      </c>
      <c r="DJ38" s="91">
        <v>1</v>
      </c>
      <c r="DK38" s="90">
        <v>1</v>
      </c>
      <c r="DL38" s="91">
        <v>0</v>
      </c>
      <c r="DM38" s="48"/>
      <c r="DN38" s="29"/>
      <c r="DO38" s="30"/>
      <c r="DP38" s="90">
        <v>2</v>
      </c>
      <c r="DQ38" s="91">
        <v>1</v>
      </c>
      <c r="DR38" s="90">
        <v>1</v>
      </c>
      <c r="DS38" s="91">
        <v>0</v>
      </c>
      <c r="DT38" s="90">
        <v>0</v>
      </c>
      <c r="DU38" s="91">
        <v>1</v>
      </c>
      <c r="DV38" s="90">
        <v>2</v>
      </c>
      <c r="DW38" s="91">
        <v>0</v>
      </c>
      <c r="DX38" s="27"/>
      <c r="DY38" s="25"/>
      <c r="DZ38" s="26"/>
      <c r="EA38" s="90">
        <v>1</v>
      </c>
      <c r="EB38" s="91">
        <v>2</v>
      </c>
      <c r="EC38" s="90">
        <v>1</v>
      </c>
      <c r="ED38" s="91">
        <v>0</v>
      </c>
      <c r="EE38" s="21"/>
      <c r="EF38" s="22"/>
      <c r="EG38" s="23"/>
      <c r="EH38" s="90">
        <v>2</v>
      </c>
      <c r="EI38" s="91">
        <v>1</v>
      </c>
      <c r="EJ38" s="21"/>
      <c r="EK38" s="22"/>
      <c r="EL38" s="23"/>
      <c r="EM38" s="90">
        <v>0</v>
      </c>
      <c r="EN38" s="91">
        <v>1</v>
      </c>
      <c r="EO38" s="153"/>
      <c r="EP38" s="21"/>
      <c r="EQ38" s="22"/>
      <c r="ER38" s="23"/>
    </row>
    <row r="39" spans="1:148" s="151" customFormat="1" ht="16.5" thickBot="1" x14ac:dyDescent="0.35">
      <c r="A39" s="42"/>
      <c r="B39" s="156">
        <f>IF($B$3="","",IF($B$3=B38,2,0)+IF($C$3=C38,2,0)+IF(OR(AND($B$3&gt;$C$3,B38 &gt; C38),AND($B$3 &lt; $C$3,B38&lt;C38),AND($B$3 = $C$3,B38 = C38)),5,0))</f>
        <v>5</v>
      </c>
      <c r="C39" s="161"/>
      <c r="D39" s="157">
        <f>IF($D$3="","",IF($D$3=D38,2,0)+IF($E$3=E38,2,0)+IF(OR(AND($D$3&gt;$E$3,D38 &gt; E38),AND($D$3 &lt; $E$3,D38&lt;E38),AND($D$3 = $E$3,D38 = E38)),5,0))</f>
        <v>7</v>
      </c>
      <c r="E39" s="157"/>
      <c r="F39" s="157" t="str">
        <f>IF($F$3="","",IF($F$3=F38,2,0)+IF($G$3=G38,2,0)+IF(OR(AND($F$3&gt;$G$3,F38 &gt; G38),AND($F$3 &lt; $G$3,F38&lt;G38),AND($F$3 = $G$3,F38 = G38)),5,0))</f>
        <v/>
      </c>
      <c r="G39" s="157"/>
      <c r="H39" s="157" t="str">
        <f>IF($H$3="","",IF($H$3=H38,2,0)+IF($I$3=I38,2,0)+IF(OR(AND($H$3&gt;$I$3,H38 &gt; I38),AND($H$3 &lt; $I$3,H38&lt;I38),AND($H$3 = $I$3,H38 = I38)),5,0))</f>
        <v/>
      </c>
      <c r="I39" s="157"/>
      <c r="J39" s="157" t="str">
        <f>IF($J$3="","",IF($J$3=J38,2,0)+IF($K$3=K38,2,0)+IF(OR(AND($J$3&gt;$K$3,J38 &gt; K38),AND($J$3 &lt; $K$3,J38&lt;K38),AND($J$3 = $K$3,J38 = K38)),5,0))</f>
        <v/>
      </c>
      <c r="K39" s="157"/>
      <c r="L39" s="157" t="str">
        <f>IF($L$3="","",IF($L$3=L38,2,0)+IF($M$3=M38,2,0)+IF(OR(AND($L$3&gt;$M$3,L38 &gt; M38),AND($L$3 &lt; $M$3,L38&lt;M38),AND($L$3 = $M$3,L38 = M38)),5,0))</f>
        <v/>
      </c>
      <c r="M39" s="157"/>
      <c r="N39" s="157" t="str">
        <f>IF($N$3="","",IF($N$3=N38,2,0)+IF($O$3=O38,2,0)+IF(OR(AND($N$3&gt;$O$3,N38 &gt; O38),AND($N$3 &lt; $O$3,N38&lt;O38),AND($N$3 = $O$3,N38 = O38)),5,0))</f>
        <v/>
      </c>
      <c r="O39" s="157"/>
      <c r="P39" s="157" t="str">
        <f>IF($P$3="","",IF($P$3=P38,2,0)+IF($Q$3=Q38,2,0)+IF(OR(AND($P$3&gt;$Q$3,P38 &gt; Q38),AND($P$3 &lt; $Q$3,P38&lt;Q38),AND($P$3 = $Q$3,P38 = Q38)),5,0))</f>
        <v/>
      </c>
      <c r="Q39" s="157"/>
      <c r="R39" s="157" t="str">
        <f>IF($R$3="","",IF($R$3=R38,2,0)+IF($S$3=S38,2,0)+IF(OR(AND($R$3&gt;$S$3,R38 &gt; S38),AND($R$3 &lt; $S$3,R38&lt;S38),AND($R$3 = $S$3,R38 = S38)),5,0))</f>
        <v/>
      </c>
      <c r="S39" s="157"/>
      <c r="T39" s="157" t="str">
        <f>IF($T$3="","",IF($T$3=T38,2,0)+IF($U$3=U38,2,0)+IF(OR(AND($T$3&gt;$U$3,T38 &gt; U38),AND($T$3 &lt; $U$3,T38&lt;U38),AND($T$3 = $U$3,T38 = U38)),5,0))</f>
        <v/>
      </c>
      <c r="U39" s="157"/>
      <c r="V39" s="157" t="str">
        <f>IF($V$3="","",IF($V$3=V38,2,0)+IF($W$3=W38,2,0)+IF(OR(AND($V$3&gt;$W$3,V38 &gt; W38),AND($V$3 &lt; $W$3,V38&lt;W38),AND($V$3 = $W$3,V38 = W38)),5,0))</f>
        <v/>
      </c>
      <c r="W39" s="157"/>
      <c r="X39" s="157" t="str">
        <f>IF($X$3="","",IF($X$3=X38,2,0)+IF($Y$3=Y38,2,0)+IF(OR(AND($X$3&gt;$Y$3,X38 &gt; Y38),AND($X$3 &lt; $Y$3,X38&lt;Y38),AND($X$3 = $Y$3,X38 = Y38)),5,0))</f>
        <v/>
      </c>
      <c r="Y39" s="157"/>
      <c r="Z39" s="157" t="str">
        <f>IF($Z$3="","",IF($Z$3=Z38,2,0)+IF($AA$3=AA38,2,0)+IF(OR(AND($Z$3&gt;$AA$3,Z38 &gt; AA38),AND($Z$3 &lt; $AA$3,Z38&lt;AA38),AND($Z$3 = $AA$3,Z38 = AA38)),5,0))</f>
        <v/>
      </c>
      <c r="AA39" s="157"/>
      <c r="AB39" s="157" t="str">
        <f>IF($AB$3="","",IF($AB$3=AB38,2,0)+IF($AC$3=AC38,2,0)+IF(OR(AND($AB$3&gt;$AC$3,AB38 &gt; AC38),AND($AB$3 &lt; $AC$3,AB38&lt;AC38),AND($AB$3 = $AC$3,AB38 = AC38)),5,0))</f>
        <v/>
      </c>
      <c r="AC39" s="157"/>
      <c r="AD39" s="157" t="str">
        <f>IF($AD$3="","",IF($AD$3=AD38,2,0)+IF($AE$3=AE38,2,0)+IF(OR(AND($AD$3&gt;$AE$3,AD38 &gt; AE38),AND($AD$3 &lt; $AE$3,AD38&lt;AE38),AND($AD$3 = $AE$3,AD38 = AE38)),5,0))</f>
        <v/>
      </c>
      <c r="AE39" s="157"/>
      <c r="AF39" s="157" t="str">
        <f>IF($AF$3="","",IF($AF$3=AF38,2,0)+IF($AG$3=AG38,2,0)+IF(OR(AND($AF$3&gt;$AG$3,AF38 &gt; AG38),AND($AF$3 &lt; $AG$3,AF38&lt;AG38),AND($AF$3 = $AG$3,AF38 = AG38)),5,0))</f>
        <v/>
      </c>
      <c r="AG39" s="158"/>
      <c r="AH39" s="160" t="str">
        <f>IF($AH$3="","",IF($AH$3=AH38,2,0)+IF($AI$3=AI38,2,0)+IF(OR(AND($AH$3&gt;$AI$3,AH38 &gt; AI38),AND($AH$3 &lt; $AI$3,AH38&lt;AI38),AND($AH$3 = $AI$3,AH38 = AI38)),5,0))</f>
        <v/>
      </c>
      <c r="AI39" s="157"/>
      <c r="AJ39" s="157" t="str">
        <f>IF($AJ$3="","",IF($AJ$3=AJ38,2,0)+IF($AK$3=AK38,2,0)+IF(OR(AND($AJ$3&gt;$AK$3,AJ38 &gt; AK38),AND($AJ$3 &lt; $AK$3,AJ38&lt;AK38),AND($AJ$3 = $AK$3,AJ38 = AK38)),5,0))</f>
        <v/>
      </c>
      <c r="AK39" s="157"/>
      <c r="AL39" s="157" t="str">
        <f>IF($AL$3="","",IF($AL$3=AL38,2,0)+IF($AM$3=AM38,2,0)+IF(OR(AND($AL$3&gt;$AM$3,AL38 &gt; AM38),AND($AL$3 &lt; $AM$3,AL38&lt;AM38),AND($AL$3 = $AM$3,AL38 = AM38)),5,0))</f>
        <v/>
      </c>
      <c r="AM39" s="157"/>
      <c r="AN39" s="157" t="str">
        <f>IF($AN$3="","",IF($AN$3=AN38,2,0)+IF($AO$3=AO38,2,0)+IF(OR(AND($AN$3&gt;$AO$3,AN38 &gt; AO38),AND($AN$3 &lt; $AO$3,AN38&lt;AO38),AND($AN$3 = $AO$3,AN38 = AO38)),5,0))</f>
        <v/>
      </c>
      <c r="AO39" s="157"/>
      <c r="AP39" s="157" t="str">
        <f>IF($AP$3="","",IF($AP$3=AP38,2,0)+IF($AQ$3=AQ38,2,0)+IF(OR(AND($AP$3&gt;$AQ$3,AP38 &gt; AQ38),AND($AP$3 &lt; $AQ$3,AP38&lt;AQ38),AND($AP$3 = $AQ$3,AP38 = AQ38)),5,0))</f>
        <v/>
      </c>
      <c r="AQ39" s="157"/>
      <c r="AR39" s="157" t="str">
        <f>IF($AR$3="","",IF($AR$3=AR38,2,0)+IF($AS$3=AS38,2,0)+IF(OR(AND($AR$3&gt;$AS$3,AR38 &gt; AS38),AND($AR$3 &lt; $AS$3,AR38&lt;AS38),AND($AR$3 = $AS$3,AR38 = AS38)),5,0))</f>
        <v/>
      </c>
      <c r="AS39" s="157"/>
      <c r="AT39" s="157" t="str">
        <f>IF($AT$3="","",IF($AT$3=AT38,2,0)+IF($AU$3=AU38,2,0)+IF(OR(AND($AT$3&gt;$AU$3,AT38 &gt; AU38),AND($AT$3 &lt; $AU$3,AT38&lt;AU38),AND($AT$3 = $AU$3,AT38 = AU38)),5,0))</f>
        <v/>
      </c>
      <c r="AU39" s="157"/>
      <c r="AV39" s="157" t="str">
        <f>IF($AV$3="","",IF($AV$3=AV38,2,0)+IF($AW$3=AW38,2,0)+IF(OR(AND($AV$3&gt;$AW$3,AV38 &gt; AW38),AND($AV$3 &lt; $AW$3,AV38&lt;AW38),AND($AV$3 = $AW$3,AV38 = AW38)),5,0))</f>
        <v/>
      </c>
      <c r="AW39" s="157"/>
      <c r="AX39" s="157" t="str">
        <f>IF($AX$3="","",IF($AX$3=AX38,2,0)+IF($AY$3=AY38,2,0)+IF(OR(AND($AX$3&gt;$AY$3,AX38 &gt; AY38),AND($AX$3 &lt; $AY$3,AX38&lt;AY38),AND($AX$3 = $AY$3,AX38 = AY38)),5,0))</f>
        <v/>
      </c>
      <c r="AY39" s="157"/>
      <c r="AZ39" s="157" t="str">
        <f>IF($AZ$3="","",IF($AZ$3=AZ38,2,0)+IF($BA$3=BA38,2,0)+IF(OR(AND($AZ$3&gt;$BA$3,AZ38 &gt; BA38),AND($AZ$3 &lt; $BA$3,AZ38&lt;BA38),AND($AZ$3 = $BA$3,AZ38 = BA38)),5,0))</f>
        <v/>
      </c>
      <c r="BA39" s="157"/>
      <c r="BB39" s="157" t="str">
        <f>IF($BB$3="","",IF($BB$3=BB38,2,0)+IF($BC$3=BC38,2,0)+IF(OR(AND($BB$3&gt;$BC$3,BB38 &gt; BC38),AND($BB$3 &lt; $BC$3,BB38&lt;BC38),AND($BB$3 = $BC$3,BB38 = BC38)),5,0))</f>
        <v/>
      </c>
      <c r="BC39" s="157"/>
      <c r="BD39" s="157" t="str">
        <f>IF($BD$3="","",IF($BD$3=BD38,2,0)+IF($BE$3=BE38,2,0)+IF(OR(AND($BD$3&gt;$BE$3,BD38 &gt; BE38),AND($BD$3 &lt; $BE$3,BD38&lt;BE38),AND($BD$3 = $BE$3,BD38 = BE38)),5,0))</f>
        <v/>
      </c>
      <c r="BE39" s="157"/>
      <c r="BF39" s="157" t="str">
        <f>IF($BF$3="","",IF($BF$3=BF38,2,0)+IF($BG$3=BG38,2,0)+IF(OR(AND($BF$3&gt;$BG$3,BF38 &gt; BG38),AND($BF$3 &lt; $BG$3,BF38&lt;BG38),AND($BF$3 = $BG$3,BF38 = BG38)),5,0))</f>
        <v/>
      </c>
      <c r="BG39" s="157"/>
      <c r="BH39" s="157" t="str">
        <f>IF($BH$3="","",IF($BH$3=BH38,2,0)+IF($BI$3=BI38,2,0)+IF(OR(AND($BH$3&gt;$BI$3,BH38 &gt; BI38),AND($BH$3 &lt; $BI$3,BH38&lt;BI38),AND($BH$3 = $BI$3,BH38 = BI38)),5,0))</f>
        <v/>
      </c>
      <c r="BI39" s="157"/>
      <c r="BJ39" s="157" t="str">
        <f>IF($BJ$3="","",IF($BJ$3=BJ38,2,0)+IF($BK$3=BK38,2,0)+IF(OR(AND($BJ$3&gt;$BK$3,BJ38 &gt; BK38),AND($BJ$3 &lt; $BK$3,BJ38&lt;BK38),AND($BJ$3 = $BK$3,BJ38 = BK38)),5,0))</f>
        <v/>
      </c>
      <c r="BK39" s="157"/>
      <c r="BL39" s="157" t="str">
        <f>IF($BL$3="","",IF($BL$3=BL38,2,0)+IF($BM$3=BM38,2,0)+IF(OR(AND($BL$3&gt;$BM$3,BL38 &gt; BM38),AND($BL$3 &lt; $BM$3,BL38&lt;BM38),AND($BL$3 = $BM$3,BL38 = BM38)),5,0))</f>
        <v/>
      </c>
      <c r="BM39" s="154"/>
      <c r="BN39" s="156" t="str">
        <f>IF($BN$3="","",IF($BN$3=BN38,2,0)+IF($BO$3=BO38,2,0)+IF(OR(AND($BN$3&gt;$BO$3,BN38 &gt; BO38),AND($BN$3 &lt; $BO$3,BN38&lt;BO38),AND($BN$3 = $BO$3,BN38 = BO38)),5,0))</f>
        <v/>
      </c>
      <c r="BO39" s="157"/>
      <c r="BP39" s="157" t="str">
        <f>IF($BP$3="","",IF($BP$3=BP38,2,0)+IF($BQ$3=BQ38,2,0)+IF(OR(AND($BP$3&gt;$BQ$3,BP38 &gt; BQ38),AND($BP$3 &lt; $BQ$3,BP38&lt;BQ38),AND($BP$3 = $BQ$3,BP38 = BQ38)),5,0))</f>
        <v/>
      </c>
      <c r="BQ39" s="157"/>
      <c r="BR39" s="157" t="str">
        <f>IF($BR$3="","",IF($BR$3=BR38,2,0)+IF($BS$3=BS38,2,0)+IF(OR(AND($BR$3&gt;$BS$3,BR38 &gt; BS38),AND($BR$3 &lt; $BS$3,BR38&lt;BS38),AND($BR$3 = $BS$3,BR38 = BS38)),5,0))</f>
        <v/>
      </c>
      <c r="BS39" s="157"/>
      <c r="BT39" s="157" t="str">
        <f>IF($BT$3="","",IF($BT$3=BT38,2,0)+IF($BU$3=BU38,2,0)+IF(OR(AND($BT$3&gt;$BU$3,BT38 &gt; BU38),AND($BT$3 &lt; $BU$3,BT38&lt;BU38),AND($BT$3 = $BU$3,BT38 = BU38)),5,0))</f>
        <v/>
      </c>
      <c r="BU39" s="157"/>
      <c r="BV39" s="157" t="str">
        <f>IF($BV$3="","",IF($BV$3=BV38,2,0)+IF($BW$3=BW38,2,0)+IF(OR(AND($BV$3&gt;$BW$3,BV38 &gt; BW38),AND($BV$3 &lt; $BW$3,BV38&lt;BW38),AND($BV$3 = $BW$3,BV38 = BW38)),5,0))</f>
        <v/>
      </c>
      <c r="BW39" s="157"/>
      <c r="BX39" s="157" t="str">
        <f>IF($BX$3="","",IF($BX$3=BX38,2,0)+IF($BY$3=BY38,2,0)+IF(OR(AND($BX$3&gt;$BY$3,BX38 &gt; BY38),AND($BX$3 &lt; $BY$3,BX38&lt;BY38),AND($BX$3 = $BY$3,BX38 = BY38)),5,0))</f>
        <v/>
      </c>
      <c r="BY39" s="157"/>
      <c r="BZ39" s="157" t="str">
        <f>IF($BZ$3="","",IF($BZ$3=BZ38,2,0)+IF($CA$3=CA38,2,0)+IF(OR(AND($BZ$3&gt;$CA$3,BZ38 &gt; CA38),AND($BZ$3 &lt; $CA$3,BZ38&lt;CA38),AND($BZ$3 = $CA$3,BZ38 = CA38)),5,0))</f>
        <v/>
      </c>
      <c r="CA39" s="157"/>
      <c r="CB39" s="157" t="str">
        <f>IF($CB$3="","",IF($CB$3=CB38,2,0)+IF($CC$3=CC38,2,0)+IF(OR(AND($CB$3&gt;$CC$3,CB38 &gt; CC38),AND($CB$3 &lt; $CC$3,CB38&lt;CC38),AND($CB$3 = $CC$3,CB38 = CC38)),5,0))</f>
        <v/>
      </c>
      <c r="CC39" s="157"/>
      <c r="CD39" s="157" t="str">
        <f>IF($CD$3="","",IF($CD$3=CD38,2,0)+IF($CE$3=CE38,2,0)+IF(OR(AND($CD$3&gt;$CE$3,CD38 &gt; CE38),AND($CD$3 &lt; $CE$3,CD38&lt;$CE$5),AND($CD$3 = $CE$3,CD38 = CE38)),5,0))</f>
        <v/>
      </c>
      <c r="CE39" s="157"/>
      <c r="CF39" s="157" t="str">
        <f>IF($CF$3="","",IF($CF$3=CF38,2,0)+IF($CG$3=CG38,2,0)+IF(OR(AND($CF$3&gt;$CG$3,CF38 &gt; CG38),AND($CF$3 &lt; $CG$3,CF38&lt;CG38),AND($CF$3 = $CG$3,CF38 = CG38)),5,0))</f>
        <v/>
      </c>
      <c r="CG39" s="157"/>
      <c r="CH39" s="157" t="str">
        <f>IF($CH$3="","",IF($CH$3=CH38,2,0)+IF($CI$3=CI38,2,0)+IF(OR(AND($CH$3&gt;$CI$3,CH38 &gt; CI38),AND($CH$3 &lt; $CI$3,CH38&lt;CI38),AND($CH$3 = $CI$3,CH38 = CI38)),5,0))</f>
        <v/>
      </c>
      <c r="CI39" s="157"/>
      <c r="CJ39" s="157" t="str">
        <f>IF($CJ$3="","",IF($CJ$3=CJ38,2,0)+IF($CK$3=CK38,2,0)+IF(OR(AND($CJ$3&gt;$CK$3,CJ38 &gt; CK38),AND($CJ$3 &lt; $CK$3,CJ38&lt;CK38),AND($CJ$3 = $CK$3,CJ38 = CK38)),5,0))</f>
        <v/>
      </c>
      <c r="CK39" s="157"/>
      <c r="CL39" s="157" t="str">
        <f>IF($CL$3="","",IF($CL$3=CL38,2,0)+IF($CM$3=CM38,2,0)+IF(OR(AND($CL$3&gt;$CM$3,CL38 &gt; CM38),AND($CL$3 &lt; $CM$3,CL38&lt;CM38),AND($CL$3 = $CM$3,CL38 = CM38)),5,0))</f>
        <v/>
      </c>
      <c r="CM39" s="157"/>
      <c r="CN39" s="157" t="str">
        <f>IF($CN$3="","",IF($CN$3=CN38,2,0)+IF($CO$3=CO38,2,0)+IF(OR(AND($CN$3&gt;$CO$3,CN38 &gt; CO38),AND($CN$3 &lt; $CO$3,CN38&lt;CO38),AND($CN$3 = $CO$3,CN38 = CO38)),5,0))</f>
        <v/>
      </c>
      <c r="CO39" s="157"/>
      <c r="CP39" s="157" t="str">
        <f>IF($CP$3="","",IF($CP$3=CP38,2,0)+IF($CQ$3=CQ38,2,0)+IF(OR(AND($CP$3&gt;$CQ$3,CP38 &gt; CQ38),AND($CP$3 &lt; $CQ$3,CP38&lt;CQ38),AND($CP$3 = $CQ$3,CP38 = CQ38)),5,0))</f>
        <v/>
      </c>
      <c r="CQ39" s="157"/>
      <c r="CR39" s="157" t="str">
        <f>IF($CR$3="","",IF($CR$3=CR38,2,0)+IF($CS$3=CS38,2,0)+IF(OR(AND($CR$3&gt;$CS$3,CR38 &gt; CS38),AND($CR$3 &lt; $CS$3,CR38&lt;CS38),AND($CR$3 = $CS$3,CR38 = CS38)),5,0))</f>
        <v/>
      </c>
      <c r="CS39" s="154"/>
      <c r="CT39" s="24">
        <f>SUM(B39:CS39)</f>
        <v>12</v>
      </c>
      <c r="CU39" s="12">
        <f>IF(AND(CW37=$CW$2,CW37&lt;&gt;""),2,0)+IF(AND(CX37=$CX$2,CX37&lt;&gt;""),2,0)+IF(AND(CY37=$CY$2,CY37&lt;&gt;""),2,0)+IF(AND(CZ37=$CZ$2,CZ37&lt;&gt;""),2,0)+IF(AND(DA37=$DA$2,DA37&lt;&gt;""),2,0)+IF(AND(DB37=$DB$2,DB37&lt;&gt;""),2,0)+IF(AND(DC37=$DC$2,DC37&lt;&gt;""),2,0)+IF(AND(DD37=$DD$2,DD37&lt;&gt;""),2,0)+IF(AND(DE37=$DE$2,DE37&lt;&gt;""),2,0)+IF(AND(DF37=$DF$2,DF37&lt;&gt;""),2,0)+IF(AND(DG37=$DG$2,DG37&lt;&gt;""),2,0)+IF(AND(DH37=$DH$2,DH37&lt;&gt;""),2,0)+IF(AND(DI37=$DI$2,DI37&lt;&gt;""),2,0)+IF(AND(DJ37=$DJ$2,DJ37&lt;&gt;""),2,0)+IF(AND(DK37=$DK$2,DK37&lt;&gt;""),2,0)+IF(AND(DL37=$DL$2,DL37&lt;&gt;""),2,0)</f>
        <v>0</v>
      </c>
      <c r="CV39" s="11">
        <f>CT39+CU39</f>
        <v>12</v>
      </c>
      <c r="CW39" s="156" t="str">
        <f>IF($CW$3="","",IF($CW$3=CW38,2,0)+IF($CX$3=CX38,2,0)+IF(OR(AND($CW$3&gt;$CX$3,CW38 &gt; CX38),AND($CW$3 &lt; $CX$3,CW38&lt;CX38),AND($CW$3 = $CX$3,CW38 = CX38)),5,0))</f>
        <v/>
      </c>
      <c r="CX39" s="157"/>
      <c r="CY39" s="157" t="str">
        <f>IF($CY$3="","",IF($CY$3=CY38,2,0)+IF($CZ$3=CZ38,2,0)+IF(OR(AND($CY$3&gt;$CZ$3,CY38 &gt; CZ38),AND($CY$3 &lt; $CZ$3,CY38&lt;CZ38),AND($CY$3 = $CZ$3,CY38 = CZ38)),5,0))</f>
        <v/>
      </c>
      <c r="CZ39" s="157"/>
      <c r="DA39" s="157" t="str">
        <f>IF($DA36="","",IF($DA$3=DA38,2,0)+IF($DB$3=DB38,2,0)+IF(OR(AND($DA$3&gt;$DB$3,DA38 &gt; DB38),AND($DA$3 &lt; $DB$3,DA38&lt;DB38),AND($DA$3 = $DB$3,DA38 = DB38)),5,0))</f>
        <v/>
      </c>
      <c r="DB39" s="157"/>
      <c r="DC39" s="157" t="str">
        <f>IF($DC$3="","",IF($DC$3=DC38,2,0)+IF($DD$3=DD38,2,0)+IF(OR(AND($DC$3&gt;$DD$3,DC38 &gt; DD38),AND($DC$3 &lt; $DD$3,DC38&lt;DD38),AND($DC$3 = $DD$3,DC38 = DD38)),5,0))</f>
        <v/>
      </c>
      <c r="DD39" s="157"/>
      <c r="DE39" s="157" t="str">
        <f>IF($DE$3="","",IF($DE$3=DE38,2,0)+IF($DF$3=DF38,2,0)+IF(OR(AND($DE$3&gt;$DF$3,DE38 &gt; DF38),AND($DE$3 &lt; $DF$3,DE38&lt;DF38),AND($DE$3 = $DF$3,DE38 = DF38)),5,0))</f>
        <v/>
      </c>
      <c r="DF39" s="157"/>
      <c r="DG39" s="157" t="str">
        <f>IF($DG$3="","",IF($DG$3=DG38,2,0)+IF($DH$3=DH38,2,0)+IF(OR(AND($DG$3&gt;$DH$3,DG38 &gt; DH38),AND($DG$3 &lt; $DH$3,DG38&lt;DH38),AND($DG$3 = $DH$3,DG38 = DH38)),5,0))</f>
        <v/>
      </c>
      <c r="DH39" s="157"/>
      <c r="DI39" s="157" t="str">
        <f>IF($DI$3="","",IF($DI$3=DI38,2,0)+IF($DJ$3=DJ38,2,0)+IF(OR(AND($DI$3&gt;$DJ$3,DI38 &gt; DJ38),AND($DI$3 &lt; $DJ$3,DI38&lt;DJ38),AND($DI$3 = $DJ$3,DI38 = DJ38)),5,0))</f>
        <v/>
      </c>
      <c r="DJ39" s="157"/>
      <c r="DK39" s="157" t="str">
        <f>IF($DK$3="","",IF($DK$3=DK38,2,0)+IF($DL$3=DL38,2,0)+IF(OR(AND($DK$3&gt;$DL$3,DK38 &gt; DL38),AND($DK$3 &lt; $DL$3,DK38&lt;DL38),AND($DK$3 = $DL$3,DK38 = DL38)),5,0))</f>
        <v/>
      </c>
      <c r="DL39" s="154"/>
      <c r="DM39" s="24">
        <f>SUM(CW39:DL39)</f>
        <v>0</v>
      </c>
      <c r="DN39" s="12">
        <f>IF(AND(DP37=$DP$2,DP37&lt;&gt;""),2,0)+IF(AND(DQ37=$DQ$2,DQ37&lt;&gt;""),2,0)+IF(AND(DR37=$DR$2,DR37&lt;&gt;""),2,0)+IF(AND(DS37=$DS$2,DS37&lt;&gt;""),2,0)+IF(AND(DT37=$DT$2,DT37&lt;&gt;""),2,0)+IF(AND(DU37=$DU$2,DU37&lt;&gt;""),2,0)+IF(AND(DV37=$DV$2,DV37&lt;&gt;""),2,0)+IF(AND(DW37=$DW$2,DW37&lt;&gt;""),2,0)</f>
        <v>0</v>
      </c>
      <c r="DO39" s="11">
        <f>CV39+DM39+DN39</f>
        <v>12</v>
      </c>
      <c r="DP39" s="159" t="str">
        <f>IF($DP$3="","",IF($DP$3=DP38,2,0)+IF($DQ$3=DQ38,2,0)+IF(OR(AND($DP$3&gt;$DQ$3,DP38 &gt; DQ38),AND($DP$3 &lt; $DQ$3,DP38&lt;DQ38),AND($DP$3 = $DQ$3,DP38 = DQ38)),5,0))</f>
        <v/>
      </c>
      <c r="DQ39" s="160"/>
      <c r="DR39" s="154" t="str">
        <f>IF($DR$3="","",IF($DR$3=DR38,2,0)+IF($DS$3=DS38,2,0)+IF(OR(AND($DR$3&gt;$DS$3,DR38 &gt; DS38),AND($DR$3 &lt; $DS$3,DR38&lt;DS38),AND($DR$3 = $DS$3,DR38 = DS38)),5,0))</f>
        <v/>
      </c>
      <c r="DS39" s="160"/>
      <c r="DT39" s="154" t="str">
        <f>IF($DT$3="","",IF($DT$3=DT38,2,0)+IF($DU$3=DU38,2,0)+IF(OR(AND($DT$3&gt;$DU$3,DT38 &gt; DU38),AND($DT$3 &lt; $DU$3,DT38&lt;DU38),AND($DT$3 = $DU$3,DT38 = DU38)),5,0))</f>
        <v/>
      </c>
      <c r="DU39" s="160"/>
      <c r="DV39" s="154" t="str">
        <f>IF($DV$3="","",IF($DV36=DV38,2,0)+IF($DW$3=DW38,2,0)+IF(OR(AND($DV$3&gt;$DW$3,DV38 &gt; DW38),AND($DV$3 &lt; $DW$3,DV38&lt;DW38),AND($DV$3 = $DW$3,DV38 = DW38)),5,0))</f>
        <v/>
      </c>
      <c r="DW39" s="155"/>
      <c r="DX39" s="24">
        <f>SUM(DP39:DW39)</f>
        <v>0</v>
      </c>
      <c r="DY39" s="12">
        <f>IF(AND(EA37=$EA$2,EA37&lt;&gt;""),3,0)+IF(AND(EB37=$EB$2,EB37&lt;&gt;""),3,0)+IF(AND(EC37=$EC$2,EC37&lt;&gt;""),3,0)+IF(AND(ED37=$ED$2,ED37&lt;&gt;""),3,0)</f>
        <v>0</v>
      </c>
      <c r="DZ39" s="11">
        <f>DO39+DX39+DY39</f>
        <v>12</v>
      </c>
      <c r="EA39" s="156" t="str">
        <f>IF($EA$3="","",IF($EA$3=EA38,2,0)+IF($EB$3=EB38,2,0)+IF(OR(AND($EA$3&gt;$EB$3,EA38 &gt; EB38),AND($EA$3 &lt; $EB$3,EA38&lt;EB38),AND($EA$3 = $EB$3,EA38 = EB38)),5,0))</f>
        <v/>
      </c>
      <c r="EB39" s="157"/>
      <c r="EC39" s="157" t="str">
        <f>IF($EC$3="","",IF($EC$3=EC38,2,0)+IF($ED$3=ED38,2,0)+IF(OR(AND($EC$3&gt;$ED$3,EC38 &gt; ED38),AND($EC$3 &lt; $ED$3,EC38&lt;ED38),AND($EC$3 = $ED$3,EC38 = ED38)),5,0))</f>
        <v/>
      </c>
      <c r="ED39" s="154"/>
      <c r="EE39" s="24">
        <f>SUM(EA39:ED39)</f>
        <v>0</v>
      </c>
      <c r="EF39" s="12">
        <f>IF(AND(EH37=$EH$2,EH37&lt;&gt;""),3,0)+IF(AND(EI37=$EI$2,EI37&lt;&gt;""),3,0)</f>
        <v>0</v>
      </c>
      <c r="EG39" s="11">
        <f>DZ39+EE39+EF39</f>
        <v>12</v>
      </c>
      <c r="EH39" s="156" t="str">
        <f>IF($EH$3="","",IF($EH$3=EH38,2,0)+IF($EI$3=EI38,2,0)+IF(OR(AND($EH$3&gt;$EI$3,EH38 &gt; EI38),AND($EH$3 &lt; $EI$3,EH38&lt;EI38),AND($EH$3 = $EI$3,EH38 = EI38)),5,0))</f>
        <v/>
      </c>
      <c r="EI39" s="154"/>
      <c r="EJ39" s="24">
        <f>SUM(EH39:EI39)</f>
        <v>0</v>
      </c>
      <c r="EK39" s="12">
        <f>IF(AND(EM37=$EM$2,EM37&lt;&gt;""),5,0)+IF(AND(EN37=$EN$2,EN37&lt;&gt;""),5,0)</f>
        <v>0</v>
      </c>
      <c r="EL39" s="11">
        <f>EG39+EJ39+EK39</f>
        <v>12</v>
      </c>
      <c r="EM39" s="156" t="str">
        <f>IF($EM$3="","",IF($EM$3=EM38,2,0)+IF($EN$3=EN38,2,0)+IF(OR(AND($EM$3&gt;$EN$3,EM38 &gt; EN38),AND($EM$3 &lt; $EN$3,EM38&lt;EN38),AND($EM$3 = $EN$3,EM38 = EN38)),5,0))</f>
        <v/>
      </c>
      <c r="EN39" s="158"/>
      <c r="EO39" s="152"/>
      <c r="EP39" s="8" t="str">
        <f>EM39</f>
        <v/>
      </c>
      <c r="EQ39" s="20">
        <f>IF(AND(EO37=$EO$2,EO37&lt;&gt;""),10,0)</f>
        <v>0</v>
      </c>
      <c r="ER39" s="11" t="e">
        <f>EL39+EP39+EQ39</f>
        <v>#VALUE!</v>
      </c>
    </row>
    <row r="40" spans="1:148" s="145" customFormat="1" ht="24" thickBot="1" x14ac:dyDescent="0.35">
      <c r="A40" s="2"/>
      <c r="B40" s="43"/>
      <c r="C40" s="44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6"/>
      <c r="AH40" s="43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6"/>
      <c r="BN40" s="43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17"/>
      <c r="CU40" s="18"/>
      <c r="CV40" s="19"/>
      <c r="CW40" s="73" t="s">
        <v>10</v>
      </c>
      <c r="CX40" s="74" t="s">
        <v>11</v>
      </c>
      <c r="CY40" s="75" t="s">
        <v>15</v>
      </c>
      <c r="CZ40" s="74" t="s">
        <v>22</v>
      </c>
      <c r="DA40" s="75" t="s">
        <v>19</v>
      </c>
      <c r="DB40" s="74" t="s">
        <v>17</v>
      </c>
      <c r="DC40" s="75" t="s">
        <v>12</v>
      </c>
      <c r="DD40" s="74" t="s">
        <v>7</v>
      </c>
      <c r="DE40" s="75" t="s">
        <v>23</v>
      </c>
      <c r="DF40" s="74" t="s">
        <v>28</v>
      </c>
      <c r="DG40" s="75" t="s">
        <v>34</v>
      </c>
      <c r="DH40" s="74" t="s">
        <v>36</v>
      </c>
      <c r="DI40" s="75" t="s">
        <v>27</v>
      </c>
      <c r="DJ40" s="74" t="s">
        <v>24</v>
      </c>
      <c r="DK40" s="75" t="s">
        <v>37</v>
      </c>
      <c r="DL40" s="74" t="s">
        <v>31</v>
      </c>
      <c r="DM40" s="14"/>
      <c r="DN40" s="15"/>
      <c r="DO40" s="16"/>
      <c r="DP40" s="70" t="s">
        <v>23</v>
      </c>
      <c r="DQ40" s="71" t="s">
        <v>34</v>
      </c>
      <c r="DR40" s="70" t="s">
        <v>10</v>
      </c>
      <c r="DS40" s="71" t="s">
        <v>15</v>
      </c>
      <c r="DT40" s="72" t="s">
        <v>12</v>
      </c>
      <c r="DU40" s="71" t="s">
        <v>19</v>
      </c>
      <c r="DV40" s="70" t="s">
        <v>27</v>
      </c>
      <c r="DW40" s="71" t="s">
        <v>31</v>
      </c>
      <c r="DX40" s="7"/>
      <c r="DY40" s="9"/>
      <c r="DZ40" s="10"/>
      <c r="EA40" s="67" t="s">
        <v>15</v>
      </c>
      <c r="EB40" s="68" t="s">
        <v>23</v>
      </c>
      <c r="EC40" s="69" t="s">
        <v>12</v>
      </c>
      <c r="ED40" s="68" t="s">
        <v>27</v>
      </c>
      <c r="EE40" s="7"/>
      <c r="EF40" s="9"/>
      <c r="EG40" s="10"/>
      <c r="EH40" s="65" t="s">
        <v>15</v>
      </c>
      <c r="EI40" s="66" t="s">
        <v>27</v>
      </c>
      <c r="EJ40" s="7"/>
      <c r="EK40" s="9"/>
      <c r="EL40" s="10"/>
      <c r="EM40" s="63" t="s">
        <v>23</v>
      </c>
      <c r="EN40" s="64" t="s">
        <v>12</v>
      </c>
      <c r="EO40" s="62" t="s">
        <v>44</v>
      </c>
      <c r="EP40" s="7"/>
      <c r="EQ40" s="9"/>
      <c r="ER40" s="10"/>
    </row>
    <row r="41" spans="1:148" s="151" customFormat="1" ht="16.5" thickBot="1" x14ac:dyDescent="0.35">
      <c r="A41" s="61" t="s">
        <v>60</v>
      </c>
      <c r="B41" s="51">
        <v>2</v>
      </c>
      <c r="C41" s="52">
        <v>1</v>
      </c>
      <c r="D41" s="53">
        <v>0</v>
      </c>
      <c r="E41" s="52">
        <v>1</v>
      </c>
      <c r="F41" s="53">
        <v>2</v>
      </c>
      <c r="G41" s="52">
        <v>3</v>
      </c>
      <c r="H41" s="53">
        <v>1</v>
      </c>
      <c r="I41" s="52">
        <v>0</v>
      </c>
      <c r="J41" s="53">
        <v>3</v>
      </c>
      <c r="K41" s="52">
        <v>2</v>
      </c>
      <c r="L41" s="53">
        <v>2</v>
      </c>
      <c r="M41" s="52">
        <v>2</v>
      </c>
      <c r="N41" s="53">
        <v>2</v>
      </c>
      <c r="O41" s="52">
        <v>0</v>
      </c>
      <c r="P41" s="53">
        <v>2</v>
      </c>
      <c r="Q41" s="52">
        <v>2</v>
      </c>
      <c r="R41" s="53">
        <v>3</v>
      </c>
      <c r="S41" s="52">
        <v>2</v>
      </c>
      <c r="T41" s="53">
        <v>3</v>
      </c>
      <c r="U41" s="52">
        <v>1</v>
      </c>
      <c r="V41" s="53">
        <v>4</v>
      </c>
      <c r="W41" s="52">
        <v>2</v>
      </c>
      <c r="X41" s="53">
        <v>1</v>
      </c>
      <c r="Y41" s="52">
        <v>1</v>
      </c>
      <c r="Z41" s="53">
        <v>3</v>
      </c>
      <c r="AA41" s="52">
        <v>1</v>
      </c>
      <c r="AB41" s="53">
        <v>2</v>
      </c>
      <c r="AC41" s="52">
        <v>3</v>
      </c>
      <c r="AD41" s="53">
        <v>1</v>
      </c>
      <c r="AE41" s="52">
        <v>2</v>
      </c>
      <c r="AF41" s="53">
        <v>4</v>
      </c>
      <c r="AG41" s="54">
        <v>3</v>
      </c>
      <c r="AH41" s="51">
        <v>3</v>
      </c>
      <c r="AI41" s="52">
        <v>1</v>
      </c>
      <c r="AJ41" s="53">
        <v>4</v>
      </c>
      <c r="AK41" s="52">
        <v>1</v>
      </c>
      <c r="AL41" s="53">
        <v>2</v>
      </c>
      <c r="AM41" s="52">
        <v>1</v>
      </c>
      <c r="AN41" s="53">
        <v>2</v>
      </c>
      <c r="AO41" s="52">
        <v>3</v>
      </c>
      <c r="AP41" s="53">
        <v>3</v>
      </c>
      <c r="AQ41" s="52">
        <v>2</v>
      </c>
      <c r="AR41" s="53">
        <v>2</v>
      </c>
      <c r="AS41" s="52">
        <v>2</v>
      </c>
      <c r="AT41" s="53">
        <v>2</v>
      </c>
      <c r="AU41" s="52">
        <v>1</v>
      </c>
      <c r="AV41" s="53">
        <v>3</v>
      </c>
      <c r="AW41" s="52">
        <v>1</v>
      </c>
      <c r="AX41" s="53">
        <v>2</v>
      </c>
      <c r="AY41" s="52">
        <v>1</v>
      </c>
      <c r="AZ41" s="53">
        <v>1</v>
      </c>
      <c r="BA41" s="52">
        <v>2</v>
      </c>
      <c r="BB41" s="53">
        <v>2</v>
      </c>
      <c r="BC41" s="52">
        <v>0</v>
      </c>
      <c r="BD41" s="53">
        <v>1</v>
      </c>
      <c r="BE41" s="52">
        <v>3</v>
      </c>
      <c r="BF41" s="53">
        <v>2</v>
      </c>
      <c r="BG41" s="52">
        <v>1</v>
      </c>
      <c r="BH41" s="53">
        <v>4</v>
      </c>
      <c r="BI41" s="52">
        <v>2</v>
      </c>
      <c r="BJ41" s="53">
        <v>1</v>
      </c>
      <c r="BK41" s="52">
        <v>2</v>
      </c>
      <c r="BL41" s="53">
        <v>4</v>
      </c>
      <c r="BM41" s="54">
        <v>2</v>
      </c>
      <c r="BN41" s="55">
        <v>0</v>
      </c>
      <c r="BO41" s="56">
        <v>2</v>
      </c>
      <c r="BP41" s="57">
        <v>3</v>
      </c>
      <c r="BQ41" s="56">
        <v>1</v>
      </c>
      <c r="BR41" s="57">
        <v>2</v>
      </c>
      <c r="BS41" s="56">
        <v>0</v>
      </c>
      <c r="BT41" s="57">
        <v>1</v>
      </c>
      <c r="BU41" s="56">
        <v>5</v>
      </c>
      <c r="BV41" s="57">
        <v>1</v>
      </c>
      <c r="BW41" s="56">
        <v>3</v>
      </c>
      <c r="BX41" s="57">
        <v>1</v>
      </c>
      <c r="BY41" s="56">
        <v>2</v>
      </c>
      <c r="BZ41" s="57">
        <v>2</v>
      </c>
      <c r="CA41" s="56">
        <v>2</v>
      </c>
      <c r="CB41" s="57">
        <v>1</v>
      </c>
      <c r="CC41" s="56">
        <v>2</v>
      </c>
      <c r="CD41" s="57">
        <v>2</v>
      </c>
      <c r="CE41" s="56">
        <v>2</v>
      </c>
      <c r="CF41" s="57">
        <v>1</v>
      </c>
      <c r="CG41" s="56">
        <v>4</v>
      </c>
      <c r="CH41" s="57">
        <v>4</v>
      </c>
      <c r="CI41" s="56">
        <v>1</v>
      </c>
      <c r="CJ41" s="57">
        <v>2</v>
      </c>
      <c r="CK41" s="56">
        <v>3</v>
      </c>
      <c r="CL41" s="57">
        <v>1</v>
      </c>
      <c r="CM41" s="56">
        <v>1</v>
      </c>
      <c r="CN41" s="57">
        <v>3</v>
      </c>
      <c r="CO41" s="56">
        <v>1</v>
      </c>
      <c r="CP41" s="57">
        <v>1</v>
      </c>
      <c r="CQ41" s="56">
        <v>1</v>
      </c>
      <c r="CR41" s="57">
        <v>1</v>
      </c>
      <c r="CS41" s="58">
        <v>3</v>
      </c>
      <c r="CT41" s="21"/>
      <c r="CU41" s="22"/>
      <c r="CV41" s="23"/>
      <c r="CW41" s="59">
        <v>4</v>
      </c>
      <c r="CX41" s="60">
        <v>3</v>
      </c>
      <c r="CY41" s="61">
        <v>4</v>
      </c>
      <c r="CZ41" s="60">
        <v>2</v>
      </c>
      <c r="DA41" s="61">
        <v>2</v>
      </c>
      <c r="DB41" s="60">
        <v>1</v>
      </c>
      <c r="DC41" s="61">
        <v>4</v>
      </c>
      <c r="DD41" s="60">
        <v>1</v>
      </c>
      <c r="DE41" s="61">
        <v>2</v>
      </c>
      <c r="DF41" s="60">
        <v>0</v>
      </c>
      <c r="DG41" s="61">
        <v>2</v>
      </c>
      <c r="DH41" s="60">
        <v>1</v>
      </c>
      <c r="DI41" s="61">
        <v>5</v>
      </c>
      <c r="DJ41" s="60">
        <v>2</v>
      </c>
      <c r="DK41" s="61">
        <v>5</v>
      </c>
      <c r="DL41" s="60">
        <v>6</v>
      </c>
      <c r="DM41" s="48"/>
      <c r="DN41" s="29"/>
      <c r="DO41" s="30"/>
      <c r="DP41" s="61">
        <v>3</v>
      </c>
      <c r="DQ41" s="60">
        <v>2</v>
      </c>
      <c r="DR41" s="61">
        <v>1</v>
      </c>
      <c r="DS41" s="60">
        <v>4</v>
      </c>
      <c r="DT41" s="61">
        <v>2</v>
      </c>
      <c r="DU41" s="60">
        <v>1</v>
      </c>
      <c r="DV41" s="61">
        <v>6</v>
      </c>
      <c r="DW41" s="60">
        <v>5</v>
      </c>
      <c r="DX41" s="27"/>
      <c r="DY41" s="25"/>
      <c r="DZ41" s="26"/>
      <c r="EA41" s="61">
        <v>2</v>
      </c>
      <c r="EB41" s="60">
        <v>4</v>
      </c>
      <c r="EC41" s="61">
        <v>4</v>
      </c>
      <c r="ED41" s="60">
        <v>2</v>
      </c>
      <c r="EE41" s="21"/>
      <c r="EF41" s="22"/>
      <c r="EG41" s="23"/>
      <c r="EH41" s="61">
        <v>3</v>
      </c>
      <c r="EI41" s="60">
        <v>2</v>
      </c>
      <c r="EJ41" s="21"/>
      <c r="EK41" s="22"/>
      <c r="EL41" s="23"/>
      <c r="EM41" s="61">
        <v>5</v>
      </c>
      <c r="EN41" s="60">
        <v>4</v>
      </c>
      <c r="EO41" s="153"/>
      <c r="EP41" s="21"/>
      <c r="EQ41" s="22"/>
      <c r="ER41" s="23"/>
    </row>
    <row r="42" spans="1:148" s="151" customFormat="1" ht="16.5" thickBot="1" x14ac:dyDescent="0.35">
      <c r="A42" s="42"/>
      <c r="B42" s="156">
        <f>IF($B$3="","",IF($B$3=B41,2,0)+IF($C$3=C41,2,0)+IF(OR(AND($B$3&gt;$C$3,B41 &gt; C41),AND($B$3 &lt; $C$3,B41&lt;C41),AND($B$3 = $C$3,B41 = C41)),5,0))</f>
        <v>5</v>
      </c>
      <c r="C42" s="161"/>
      <c r="D42" s="157">
        <f>IF($D$3="","",IF($D$3=D41,2,0)+IF($E$3=E41,2,0)+IF(OR(AND($D$3&gt;$E$3,D41 &gt; E41),AND($D$3 &lt; $E$3,D41&lt;E41),AND($D$3 = $E$3,D41 = E41)),5,0))</f>
        <v>9</v>
      </c>
      <c r="E42" s="157"/>
      <c r="F42" s="157" t="str">
        <f>IF($F$3="","",IF($F$3=F41,2,0)+IF($G$3=G41,2,0)+IF(OR(AND($F$3&gt;$G$3,F41 &gt; G41),AND($F$3 &lt; $G$3,F41&lt;G41),AND($F$3 = $G$3,F41 = G41)),5,0))</f>
        <v/>
      </c>
      <c r="G42" s="157"/>
      <c r="H42" s="157" t="str">
        <f>IF($H$3="","",IF($H$3=H41,2,0)+IF($I$3=I41,2,0)+IF(OR(AND($H$3&gt;$I$3,H41 &gt; I41),AND($H$3 &lt; $I$3,H41&lt;I41),AND($H$3 = $I$3,H41 = I41)),5,0))</f>
        <v/>
      </c>
      <c r="I42" s="157"/>
      <c r="J42" s="157" t="str">
        <f>IF($J$3="","",IF($J$3=J41,2,0)+IF($K$3=K41,2,0)+IF(OR(AND($J$3&gt;$K$3,J41 &gt; K41),AND($J$3 &lt; $K$3,J41&lt;K41),AND($J$3 = $K$3,J41 = K41)),5,0))</f>
        <v/>
      </c>
      <c r="K42" s="157"/>
      <c r="L42" s="157" t="str">
        <f>IF($L$3="","",IF($L$3=L41,2,0)+IF($M$3=M41,2,0)+IF(OR(AND($L$3&gt;$M$3,L41 &gt; M41),AND($L$3 &lt; $M$3,L41&lt;M41),AND($L$3 = $M$3,L41 = M41)),5,0))</f>
        <v/>
      </c>
      <c r="M42" s="157"/>
      <c r="N42" s="157" t="str">
        <f>IF($N$3="","",IF($N$3=N41,2,0)+IF($O$3=O41,2,0)+IF(OR(AND($N$3&gt;$O$3,N41 &gt; O41),AND($N$3 &lt; $O$3,N41&lt;O41),AND($N$3 = $O$3,N41 = O41)),5,0))</f>
        <v/>
      </c>
      <c r="O42" s="157"/>
      <c r="P42" s="157" t="str">
        <f>IF($P$3="","",IF($P$3=P41,2,0)+IF($Q$3=Q41,2,0)+IF(OR(AND($P$3&gt;$Q$3,P41 &gt; Q41),AND($P$3 &lt; $Q$3,P41&lt;Q41),AND($P$3 = $Q$3,P41 = Q41)),5,0))</f>
        <v/>
      </c>
      <c r="Q42" s="157"/>
      <c r="R42" s="157" t="str">
        <f>IF($R$3="","",IF($R$3=R41,2,0)+IF($S$3=S41,2,0)+IF(OR(AND($R$3&gt;$S$3,R41 &gt; S41),AND($R$3 &lt; $S$3,R41&lt;S41),AND($R$3 = $S$3,R41 = S41)),5,0))</f>
        <v/>
      </c>
      <c r="S42" s="157"/>
      <c r="T42" s="157" t="str">
        <f>IF($T$3="","",IF($T$3=T41,2,0)+IF($U$3=U41,2,0)+IF(OR(AND($T$3&gt;$U$3,T41 &gt; U41),AND($T$3 &lt; $U$3,T41&lt;U41),AND($T$3 = $U$3,T41 = U41)),5,0))</f>
        <v/>
      </c>
      <c r="U42" s="157"/>
      <c r="V42" s="157" t="str">
        <f>IF($V$3="","",IF($V$3=V41,2,0)+IF($W$3=W41,2,0)+IF(OR(AND($V$3&gt;$W$3,V41 &gt; W41),AND($V$3 &lt; $W$3,V41&lt;W41),AND($V$3 = $W$3,V41 = W41)),5,0))</f>
        <v/>
      </c>
      <c r="W42" s="157"/>
      <c r="X42" s="157" t="str">
        <f>IF($X$3="","",IF($X$3=X41,2,0)+IF($Y$3=Y41,2,0)+IF(OR(AND($X$3&gt;$Y$3,X41 &gt; Y41),AND($X$3 &lt; $Y$3,X41&lt;Y41),AND($X$3 = $Y$3,X41 = Y41)),5,0))</f>
        <v/>
      </c>
      <c r="Y42" s="157"/>
      <c r="Z42" s="157" t="str">
        <f>IF($Z$3="","",IF($Z$3=Z41,2,0)+IF($AA$3=AA41,2,0)+IF(OR(AND($Z$3&gt;$AA$3,Z41 &gt; AA41),AND($Z$3 &lt; $AA$3,Z41&lt;AA41),AND($Z$3 = $AA$3,Z41 = AA41)),5,0))</f>
        <v/>
      </c>
      <c r="AA42" s="157"/>
      <c r="AB42" s="157" t="str">
        <f>IF($AB$3="","",IF($AB$3=AB41,2,0)+IF($AC$3=AC41,2,0)+IF(OR(AND($AB$3&gt;$AC$3,AB41 &gt; AC41),AND($AB$3 &lt; $AC$3,AB41&lt;AC41),AND($AB$3 = $AC$3,AB41 = AC41)),5,0))</f>
        <v/>
      </c>
      <c r="AC42" s="157"/>
      <c r="AD42" s="157" t="str">
        <f>IF($AD$3="","",IF($AD$3=AD41,2,0)+IF($AE$3=AE41,2,0)+IF(OR(AND($AD$3&gt;$AE$3,AD41 &gt; AE41),AND($AD$3 &lt; $AE$3,AD41&lt;AE41),AND($AD$3 = $AE$3,AD41 = AE41)),5,0))</f>
        <v/>
      </c>
      <c r="AE42" s="157"/>
      <c r="AF42" s="157" t="str">
        <f>IF($AF$3="","",IF($AF$3=AF41,2,0)+IF($AG$3=AG41,2,0)+IF(OR(AND($AF$3&gt;$AG$3,AF41 &gt; AG41),AND($AF$3 &lt; $AG$3,AF41&lt;AG41),AND($AF$3 = $AG$3,AF41 = AG41)),5,0))</f>
        <v/>
      </c>
      <c r="AG42" s="158"/>
      <c r="AH42" s="160" t="str">
        <f>IF($AH$3="","",IF($AH$3=AH41,2,0)+IF($AI$3=AI41,2,0)+IF(OR(AND($AH$3&gt;$AI$3,AH41 &gt; AI41),AND($AH$3 &lt; $AI$3,AH41&lt;AI41),AND($AH$3 = $AI$3,AH41 = AI41)),5,0))</f>
        <v/>
      </c>
      <c r="AI42" s="157"/>
      <c r="AJ42" s="157" t="str">
        <f>IF($AJ$3="","",IF($AJ$3=AJ41,2,0)+IF($AK$3=AK41,2,0)+IF(OR(AND($AJ$3&gt;$AK$3,AJ41 &gt; AK41),AND($AJ$3 &lt; $AK$3,AJ41&lt;AK41),AND($AJ$3 = $AK$3,AJ41 = AK41)),5,0))</f>
        <v/>
      </c>
      <c r="AK42" s="157"/>
      <c r="AL42" s="157" t="str">
        <f>IF($AL$3="","",IF($AL$3=AL41,2,0)+IF($AM$3=AM41,2,0)+IF(OR(AND($AL$3&gt;$AM$3,AL41 &gt; AM41),AND($AL$3 &lt; $AM$3,AL41&lt;AM41),AND($AL$3 = $AM$3,AL41 = AM41)),5,0))</f>
        <v/>
      </c>
      <c r="AM42" s="157"/>
      <c r="AN42" s="157" t="str">
        <f>IF($AN$3="","",IF($AN$3=AN41,2,0)+IF($AO$3=AO41,2,0)+IF(OR(AND($AN$3&gt;$AO$3,AN41 &gt; AO41),AND($AN$3 &lt; $AO$3,AN41&lt;AO41),AND($AN$3 = $AO$3,AN41 = AO41)),5,0))</f>
        <v/>
      </c>
      <c r="AO42" s="157"/>
      <c r="AP42" s="157" t="str">
        <f>IF($AP$3="","",IF($AP$3=AP41,2,0)+IF($AQ$3=AQ41,2,0)+IF(OR(AND($AP$3&gt;$AQ$3,AP41 &gt; AQ41),AND($AP$3 &lt; $AQ$3,AP41&lt;AQ41),AND($AP$3 = $AQ$3,AP41 = AQ41)),5,0))</f>
        <v/>
      </c>
      <c r="AQ42" s="157"/>
      <c r="AR42" s="157" t="str">
        <f>IF($AR$3="","",IF($AR$3=AR41,2,0)+IF($AS$3=AS41,2,0)+IF(OR(AND($AR$3&gt;$AS$3,AR41 &gt; AS41),AND($AR$3 &lt; $AS$3,AR41&lt;AS41),AND($AR$3 = $AS$3,AR41 = AS41)),5,0))</f>
        <v/>
      </c>
      <c r="AS42" s="157"/>
      <c r="AT42" s="157" t="str">
        <f>IF($AT$3="","",IF($AT$3=AT41,2,0)+IF($AU$3=AU41,2,0)+IF(OR(AND($AT$3&gt;$AU$3,AT41 &gt; AU41),AND($AT$3 &lt; $AU$3,AT41&lt;AU41),AND($AT$3 = $AU$3,AT41 = AU41)),5,0))</f>
        <v/>
      </c>
      <c r="AU42" s="157"/>
      <c r="AV42" s="157" t="str">
        <f>IF($AV$3="","",IF($AV$3=AV41,2,0)+IF($AW$3=AW41,2,0)+IF(OR(AND($AV$3&gt;$AW$3,AV41 &gt; AW41),AND($AV$3 &lt; $AW$3,AV41&lt;AW41),AND($AV$3 = $AW$3,AV41 = AW41)),5,0))</f>
        <v/>
      </c>
      <c r="AW42" s="157"/>
      <c r="AX42" s="157" t="str">
        <f>IF($AX$3="","",IF($AX$3=AX41,2,0)+IF($AY$3=AY41,2,0)+IF(OR(AND($AX$3&gt;$AY$3,AX41 &gt; AY41),AND($AX$3 &lt; $AY$3,AX41&lt;AY41),AND($AX$3 = $AY$3,AX41 = AY41)),5,0))</f>
        <v/>
      </c>
      <c r="AY42" s="157"/>
      <c r="AZ42" s="157" t="str">
        <f>IF($AZ$3="","",IF($AZ$3=AZ41,2,0)+IF($BA$3=BA41,2,0)+IF(OR(AND($AZ$3&gt;$BA$3,AZ41 &gt; BA41),AND($AZ$3 &lt; $BA$3,AZ41&lt;BA41),AND($AZ$3 = $BA$3,AZ41 = BA41)),5,0))</f>
        <v/>
      </c>
      <c r="BA42" s="157"/>
      <c r="BB42" s="157" t="str">
        <f>IF($BB$3="","",IF($BB$3=BB41,2,0)+IF($BC$3=BC41,2,0)+IF(OR(AND($BB$3&gt;$BC$3,BB41 &gt; BC41),AND($BB$3 &lt; $BC$3,BB41&lt;BC41),AND($BB$3 = $BC$3,BB41 = BC41)),5,0))</f>
        <v/>
      </c>
      <c r="BC42" s="157"/>
      <c r="BD42" s="157" t="str">
        <f>IF($BD$3="","",IF($BD$3=BD41,2,0)+IF($BE$3=BE41,2,0)+IF(OR(AND($BD$3&gt;$BE$3,BD41 &gt; BE41),AND($BD$3 &lt; $BE$3,BD41&lt;BE41),AND($BD$3 = $BE$3,BD41 = BE41)),5,0))</f>
        <v/>
      </c>
      <c r="BE42" s="157"/>
      <c r="BF42" s="157" t="str">
        <f>IF($BF$3="","",IF($BF$3=BF41,2,0)+IF($BG$3=BG41,2,0)+IF(OR(AND($BF$3&gt;$BG$3,BF41 &gt; BG41),AND($BF$3 &lt; $BG$3,BF41&lt;BG41),AND($BF$3 = $BG$3,BF41 = BG41)),5,0))</f>
        <v/>
      </c>
      <c r="BG42" s="157"/>
      <c r="BH42" s="157" t="str">
        <f>IF($BH$3="","",IF($BH$3=BH41,2,0)+IF($BI$3=BI41,2,0)+IF(OR(AND($BH$3&gt;$BI$3,BH41 &gt; BI41),AND($BH$3 &lt; $BI$3,BH41&lt;BI41),AND($BH$3 = $BI$3,BH41 = BI41)),5,0))</f>
        <v/>
      </c>
      <c r="BI42" s="157"/>
      <c r="BJ42" s="157" t="str">
        <f>IF($BJ$3="","",IF($BJ$3=BJ41,2,0)+IF($BK$3=BK41,2,0)+IF(OR(AND($BJ$3&gt;$BK$3,BJ41 &gt; BK41),AND($BJ$3 &lt; $BK$3,BJ41&lt;BK41),AND($BJ$3 = $BK$3,BJ41 = BK41)),5,0))</f>
        <v/>
      </c>
      <c r="BK42" s="157"/>
      <c r="BL42" s="157" t="str">
        <f>IF($BL$3="","",IF($BL$3=BL41,2,0)+IF($BM$3=BM41,2,0)+IF(OR(AND($BL$3&gt;$BM$3,BL41 &gt; BM41),AND($BL$3 &lt; $BM$3,BL41&lt;BM41),AND($BL$3 = $BM$3,BL41 = BM41)),5,0))</f>
        <v/>
      </c>
      <c r="BM42" s="154"/>
      <c r="BN42" s="156" t="str">
        <f>IF($BN$3="","",IF($BN$3=BN41,2,0)+IF($BO$3=BO41,2,0)+IF(OR(AND($BN$3&gt;$BO$3,BN41 &gt; BO41),AND($BN$3 &lt; $BO$3,BN41&lt;BO41),AND($BN$3 = $BO$3,BN41 = BO41)),5,0))</f>
        <v/>
      </c>
      <c r="BO42" s="157"/>
      <c r="BP42" s="157" t="str">
        <f>IF($BP$3="","",IF($BP$3=BP41,2,0)+IF($BQ$3=BQ41,2,0)+IF(OR(AND($BP$3&gt;$BQ$3,BP41 &gt; BQ41),AND($BP$3 &lt; $BQ$3,BP41&lt;BQ41),AND($BP$3 = $BQ$3,BP41 = BQ41)),5,0))</f>
        <v/>
      </c>
      <c r="BQ42" s="157"/>
      <c r="BR42" s="157" t="str">
        <f>IF($BR$3="","",IF($BR$3=BR41,2,0)+IF($BS$3=BS41,2,0)+IF(OR(AND($BR$3&gt;$BS$3,BR41 &gt; BS41),AND($BR$3 &lt; $BS$3,BR41&lt;BS41),AND($BR$3 = $BS$3,BR41 = BS41)),5,0))</f>
        <v/>
      </c>
      <c r="BS42" s="157"/>
      <c r="BT42" s="157" t="str">
        <f>IF($BT$3="","",IF($BT$3=BT41,2,0)+IF($BU$3=BU41,2,0)+IF(OR(AND($BT$3&gt;$BU$3,BT41 &gt; BU41),AND($BT$3 &lt; $BU$3,BT41&lt;BU41),AND($BT$3 = $BU$3,BT41 = BU41)),5,0))</f>
        <v/>
      </c>
      <c r="BU42" s="157"/>
      <c r="BV42" s="157" t="str">
        <f>IF($BV$3="","",IF($BV$3=BV41,2,0)+IF($BW$3=BW41,2,0)+IF(OR(AND($BV$3&gt;$BW$3,BV41 &gt; BW41),AND($BV$3 &lt; $BW$3,BV41&lt;BW41),AND($BV$3 = $BW$3,BV41 = BW41)),5,0))</f>
        <v/>
      </c>
      <c r="BW42" s="157"/>
      <c r="BX42" s="157" t="str">
        <f>IF($BX$3="","",IF($BX$3=BX41,2,0)+IF($BY$3=BY41,2,0)+IF(OR(AND($BX$3&gt;$BY$3,BX41 &gt; BY41),AND($BX$3 &lt; $BY$3,BX41&lt;BY41),AND($BX$3 = $BY$3,BX41 = BY41)),5,0))</f>
        <v/>
      </c>
      <c r="BY42" s="157"/>
      <c r="BZ42" s="157" t="str">
        <f>IF($BZ$3="","",IF($BZ$3=BZ41,2,0)+IF($CA$3=CA41,2,0)+IF(OR(AND($BZ$3&gt;$CA$3,BZ41 &gt; CA41),AND($BZ$3 &lt; $CA$3,BZ41&lt;CA41),AND($BZ$3 = $CA$3,BZ41 = CA41)),5,0))</f>
        <v/>
      </c>
      <c r="CA42" s="157"/>
      <c r="CB42" s="157" t="str">
        <f>IF($CB$3="","",IF($CB$3=CB41,2,0)+IF($CC$3=CC41,2,0)+IF(OR(AND($CB$3&gt;$CC$3,CB41 &gt; CC41),AND($CB$3 &lt; $CC$3,CB41&lt;CC41),AND($CB$3 = $CC$3,CB41 = CC41)),5,0))</f>
        <v/>
      </c>
      <c r="CC42" s="157"/>
      <c r="CD42" s="157" t="str">
        <f>IF($CD$3="","",IF($CD$3=CD41,2,0)+IF($CE$3=CE41,2,0)+IF(OR(AND($CD$3&gt;$CE$3,CD41 &gt; CE41),AND($CD$3 &lt; $CE$3,CD41&lt;$CE$5),AND($CD$3 = $CE$3,CD41 = CE41)),5,0))</f>
        <v/>
      </c>
      <c r="CE42" s="157"/>
      <c r="CF42" s="157" t="str">
        <f>IF($CF$3="","",IF($CF$3=CF41,2,0)+IF($CG$3=CG41,2,0)+IF(OR(AND($CF$3&gt;$CG$3,CF41 &gt; CG41),AND($CF$3 &lt; $CG$3,CF41&lt;CG41),AND($CF$3 = $CG$3,CF41 = CG41)),5,0))</f>
        <v/>
      </c>
      <c r="CG42" s="157"/>
      <c r="CH42" s="157" t="str">
        <f>IF($CH$3="","",IF($CH$3=CH41,2,0)+IF($CI$3=CI41,2,0)+IF(OR(AND($CH$3&gt;$CI$3,CH41 &gt; CI41),AND($CH$3 &lt; $CI$3,CH41&lt;CI41),AND($CH$3 = $CI$3,CH41 = CI41)),5,0))</f>
        <v/>
      </c>
      <c r="CI42" s="157"/>
      <c r="CJ42" s="157" t="str">
        <f>IF($CJ$3="","",IF($CJ$3=CJ41,2,0)+IF($CK$3=CK41,2,0)+IF(OR(AND($CJ$3&gt;$CK$3,CJ41 &gt; CK41),AND($CJ$3 &lt; $CK$3,CJ41&lt;CK41),AND($CJ$3 = $CK$3,CJ41 = CK41)),5,0))</f>
        <v/>
      </c>
      <c r="CK42" s="157"/>
      <c r="CL42" s="157" t="str">
        <f>IF($CL$3="","",IF($CL$3=CL41,2,0)+IF($CM$3=CM41,2,0)+IF(OR(AND($CL$3&gt;$CM$3,CL41 &gt; CM41),AND($CL$3 &lt; $CM$3,CL41&lt;CM41),AND($CL$3 = $CM$3,CL41 = CM41)),5,0))</f>
        <v/>
      </c>
      <c r="CM42" s="157"/>
      <c r="CN42" s="157" t="str">
        <f>IF($CN$3="","",IF($CN$3=CN41,2,0)+IF($CO$3=CO41,2,0)+IF(OR(AND($CN$3&gt;$CO$3,CN41 &gt; CO41),AND($CN$3 &lt; $CO$3,CN41&lt;CO41),AND($CN$3 = $CO$3,CN41 = CO41)),5,0))</f>
        <v/>
      </c>
      <c r="CO42" s="157"/>
      <c r="CP42" s="157" t="str">
        <f>IF($CP$3="","",IF($CP$3=CP41,2,0)+IF($CQ$3=CQ41,2,0)+IF(OR(AND($CP$3&gt;$CQ$3,CP41 &gt; CQ41),AND($CP$3 &lt; $CQ$3,CP41&lt;CQ41),AND($CP$3 = $CQ$3,CP41 = CQ41)),5,0))</f>
        <v/>
      </c>
      <c r="CQ42" s="157"/>
      <c r="CR42" s="157" t="str">
        <f>IF($CR$3="","",IF($CR$3=CR41,2,0)+IF($CS$3=CS41,2,0)+IF(OR(AND($CR$3&gt;$CS$3,CR41 &gt; CS41),AND($CR$3 &lt; $CS$3,CR41&lt;CS41),AND($CR$3 = $CS$3,CR41 = CS41)),5,0))</f>
        <v/>
      </c>
      <c r="CS42" s="154"/>
      <c r="CT42" s="24">
        <f>SUM(B42:CS42)</f>
        <v>14</v>
      </c>
      <c r="CU42" s="12">
        <f>IF(AND(CW40=$CW$2,CW40&lt;&gt;""),2,0)+IF(AND(CX40=$CX$2,CX40&lt;&gt;""),2,0)+IF(AND(CY40=$CY$2,CY40&lt;&gt;""),2,0)+IF(AND(CZ40=$CZ$2,CZ40&lt;&gt;""),2,0)+IF(AND(DA40=$DA$2,DA40&lt;&gt;""),2,0)+IF(AND(DB40=$DB$2,DB40&lt;&gt;""),2,0)+IF(AND(DC40=$DC$2,DC40&lt;&gt;""),2,0)+IF(AND(DD40=$DD$2,DD40&lt;&gt;""),2,0)+IF(AND(DE40=$DE$2,DE40&lt;&gt;""),2,0)+IF(AND(DF40=$DF$2,DF40&lt;&gt;""),2,0)+IF(AND(DG40=$DG$2,DG40&lt;&gt;""),2,0)+IF(AND(DH40=$DH$2,DH40&lt;&gt;""),2,0)+IF(AND(DI40=$DI$2,DI40&lt;&gt;""),2,0)+IF(AND(DJ40=$DJ$2,DJ40&lt;&gt;""),2,0)+IF(AND(DK40=$DK$2,DK40&lt;&gt;""),2,0)+IF(AND(DL40=$DL$2,DL40&lt;&gt;""),2,0)</f>
        <v>0</v>
      </c>
      <c r="CV42" s="11">
        <f>CT42+CU42</f>
        <v>14</v>
      </c>
      <c r="CW42" s="156" t="str">
        <f>IF($CW$3="","",IF($CW$3=CW41,2,0)+IF($CX$3=CX41,2,0)+IF(OR(AND($CW$3&gt;$CX$3,CW41 &gt; CX41),AND($CW$3 &lt; $CX$3,CW41&lt;CX41),AND($CW$3 = $CX$3,CW41 = CX41)),5,0))</f>
        <v/>
      </c>
      <c r="CX42" s="157"/>
      <c r="CY42" s="157" t="str">
        <f>IF($CY$3="","",IF($CY$3=CY41,2,0)+IF($CZ$3=CZ41,2,0)+IF(OR(AND($CY$3&gt;$CZ$3,CY41 &gt; CZ41),AND($CY$3 &lt; $CZ$3,CY41&lt;CZ41),AND($CY$3 = $CZ$3,CY41 = CZ41)),5,0))</f>
        <v/>
      </c>
      <c r="CZ42" s="157"/>
      <c r="DA42" s="157" t="str">
        <f>IF($DA39="","",IF($DA$3=DA41,2,0)+IF($DB$3=DB41,2,0)+IF(OR(AND($DA$3&gt;$DB$3,DA41 &gt; DB41),AND($DA$3 &lt; $DB$3,DA41&lt;DB41),AND($DA$3 = $DB$3,DA41 = DB41)),5,0))</f>
        <v/>
      </c>
      <c r="DB42" s="157"/>
      <c r="DC42" s="157" t="str">
        <f>IF($DC$3="","",IF($DC$3=DC41,2,0)+IF($DD$3=DD41,2,0)+IF(OR(AND($DC$3&gt;$DD$3,DC41 &gt; DD41),AND($DC$3 &lt; $DD$3,DC41&lt;DD41),AND($DC$3 = $DD$3,DC41 = DD41)),5,0))</f>
        <v/>
      </c>
      <c r="DD42" s="157"/>
      <c r="DE42" s="157" t="str">
        <f>IF($DE$3="","",IF($DE$3=DE41,2,0)+IF($DF$3=DF41,2,0)+IF(OR(AND($DE$3&gt;$DF$3,DE41 &gt; DF41),AND($DE$3 &lt; $DF$3,DE41&lt;DF41),AND($DE$3 = $DF$3,DE41 = DF41)),5,0))</f>
        <v/>
      </c>
      <c r="DF42" s="157"/>
      <c r="DG42" s="157" t="str">
        <f>IF($DG$3="","",IF($DG$3=DG41,2,0)+IF($DH$3=DH41,2,0)+IF(OR(AND($DG$3&gt;$DH$3,DG41 &gt; DH41),AND($DG$3 &lt; $DH$3,DG41&lt;DH41),AND($DG$3 = $DH$3,DG41 = DH41)),5,0))</f>
        <v/>
      </c>
      <c r="DH42" s="157"/>
      <c r="DI42" s="157" t="str">
        <f>IF($DI$3="","",IF($DI$3=DI41,2,0)+IF($DJ$3=DJ41,2,0)+IF(OR(AND($DI$3&gt;$DJ$3,DI41 &gt; DJ41),AND($DI$3 &lt; $DJ$3,DI41&lt;DJ41),AND($DI$3 = $DJ$3,DI41 = DJ41)),5,0))</f>
        <v/>
      </c>
      <c r="DJ42" s="157"/>
      <c r="DK42" s="157" t="str">
        <f>IF($DK$3="","",IF($DK$3=DK41,2,0)+IF($DL$3=DL41,2,0)+IF(OR(AND($DK$3&gt;$DL$3,DK41 &gt; DL41),AND($DK$3 &lt; $DL$3,DK41&lt;DL41),AND($DK$3 = $DL$3,DK41 = DL41)),5,0))</f>
        <v/>
      </c>
      <c r="DL42" s="154"/>
      <c r="DM42" s="24">
        <f>SUM(CW42:DL42)</f>
        <v>0</v>
      </c>
      <c r="DN42" s="12">
        <f>IF(AND(DP40=$DP$2,DP40&lt;&gt;""),2,0)+IF(AND(DQ40=$DQ$2,DQ40&lt;&gt;""),2,0)+IF(AND(DR40=$DR$2,DR40&lt;&gt;""),2,0)+IF(AND(DS40=$DS$2,DS40&lt;&gt;""),2,0)+IF(AND(DT40=$DT$2,DT40&lt;&gt;""),2,0)+IF(AND(DU40=$DU$2,DU40&lt;&gt;""),2,0)+IF(AND(DV40=$DV$2,DV40&lt;&gt;""),2,0)+IF(AND(DW40=$DW$2,DW40&lt;&gt;""),2,0)</f>
        <v>0</v>
      </c>
      <c r="DO42" s="11">
        <f>CV42+DM42+DN42</f>
        <v>14</v>
      </c>
      <c r="DP42" s="159" t="str">
        <f>IF($DP$3="","",IF($DP$3=DP41,2,0)+IF($DQ$3=DQ41,2,0)+IF(OR(AND($DP$3&gt;$DQ$3,DP41 &gt; DQ41),AND($DP$3 &lt; $DQ$3,DP41&lt;DQ41),AND($DP$3 = $DQ$3,DP41 = DQ41)),5,0))</f>
        <v/>
      </c>
      <c r="DQ42" s="160"/>
      <c r="DR42" s="154" t="str">
        <f>IF($DR$3="","",IF($DR$3=DR41,2,0)+IF($DS$3=DS41,2,0)+IF(OR(AND($DR$3&gt;$DS$3,DR41 &gt; DS41),AND($DR$3 &lt; $DS$3,DR41&lt;DS41),AND($DR$3 = $DS$3,DR41 = DS41)),5,0))</f>
        <v/>
      </c>
      <c r="DS42" s="160"/>
      <c r="DT42" s="154" t="str">
        <f>IF($DT$3="","",IF($DT$3=DT41,2,0)+IF($DU$3=DU41,2,0)+IF(OR(AND($DT$3&gt;$DU$3,DT41 &gt; DU41),AND($DT$3 &lt; $DU$3,DT41&lt;DU41),AND($DT$3 = $DU$3,DT41 = DU41)),5,0))</f>
        <v/>
      </c>
      <c r="DU42" s="160"/>
      <c r="DV42" s="154" t="str">
        <f>IF($DV$3="","",IF($DV39=DV41,2,0)+IF($DW$3=DW41,2,0)+IF(OR(AND($DV$3&gt;$DW$3,DV41 &gt; DW41),AND($DV$3 &lt; $DW$3,DV41&lt;DW41),AND($DV$3 = $DW$3,DV41 = DW41)),5,0))</f>
        <v/>
      </c>
      <c r="DW42" s="155"/>
      <c r="DX42" s="24">
        <f>SUM(DP42:DW42)</f>
        <v>0</v>
      </c>
      <c r="DY42" s="12">
        <f>IF(AND(EA40=$EA$2,EA40&lt;&gt;""),3,0)+IF(AND(EB40=$EB$2,EB40&lt;&gt;""),3,0)+IF(AND(EC40=$EC$2,EC40&lt;&gt;""),3,0)+IF(AND(ED40=$ED$2,ED40&lt;&gt;""),3,0)</f>
        <v>0</v>
      </c>
      <c r="DZ42" s="11">
        <f>DO42+DX42+DY42</f>
        <v>14</v>
      </c>
      <c r="EA42" s="156" t="str">
        <f>IF($EA$3="","",IF($EA$3=EA41,2,0)+IF($EB$3=EB41,2,0)+IF(OR(AND($EA$3&gt;$EB$3,EA41 &gt; EB41),AND($EA$3 &lt; $EB$3,EA41&lt;EB41),AND($EA$3 = $EB$3,EA41 = EB41)),5,0))</f>
        <v/>
      </c>
      <c r="EB42" s="157"/>
      <c r="EC42" s="157" t="str">
        <f>IF($EC$3="","",IF($EC$3=EC41,2,0)+IF($ED$3=ED41,2,0)+IF(OR(AND($EC$3&gt;$ED$3,EC41 &gt; ED41),AND($EC$3 &lt; $ED$3,EC41&lt;ED41),AND($EC$3 = $ED$3,EC41 = ED41)),5,0))</f>
        <v/>
      </c>
      <c r="ED42" s="154"/>
      <c r="EE42" s="24">
        <f>SUM(EA42:ED42)</f>
        <v>0</v>
      </c>
      <c r="EF42" s="12">
        <f>IF(AND(EH40=$EH$2,EH40&lt;&gt;""),3,0)+IF(AND(EI40=$EI$2,EI40&lt;&gt;""),3,0)</f>
        <v>0</v>
      </c>
      <c r="EG42" s="11">
        <f>DZ42+EE42+EF42</f>
        <v>14</v>
      </c>
      <c r="EH42" s="156" t="str">
        <f>IF($EH$3="","",IF($EH$3=EH41,2,0)+IF($EI$3=EI41,2,0)+IF(OR(AND($EH$3&gt;$EI$3,EH41 &gt; EI41),AND($EH$3 &lt; $EI$3,EH41&lt;EI41),AND($EH$3 = $EI$3,EH41 = EI41)),5,0))</f>
        <v/>
      </c>
      <c r="EI42" s="154"/>
      <c r="EJ42" s="24">
        <f>SUM(EH42:EI42)</f>
        <v>0</v>
      </c>
      <c r="EK42" s="12">
        <f>IF(AND(EM40=$EM$2,EM40&lt;&gt;""),5,0)+IF(AND(EN40=$EN$2,EN40&lt;&gt;""),5,0)</f>
        <v>0</v>
      </c>
      <c r="EL42" s="11">
        <f>EG42+EJ42+EK42</f>
        <v>14</v>
      </c>
      <c r="EM42" s="156" t="str">
        <f>IF($EM$3="","",IF($EM$3=EM41,2,0)+IF($EN$3=EN41,2,0)+IF(OR(AND($EM$3&gt;$EN$3,EM41 &gt; EN41),AND($EM$3 &lt; $EN$3,EM41&lt;EN41),AND($EM$3 = $EN$3,EM41 = EN41)),5,0))</f>
        <v/>
      </c>
      <c r="EN42" s="158"/>
      <c r="EO42" s="152"/>
      <c r="EP42" s="8" t="str">
        <f>EM42</f>
        <v/>
      </c>
      <c r="EQ42" s="20">
        <f>IF(AND(EO40=$EO$2,EO40&lt;&gt;""),10,0)</f>
        <v>0</v>
      </c>
      <c r="ER42" s="11" t="e">
        <f>EL42+EP42+EQ42</f>
        <v>#VALUE!</v>
      </c>
    </row>
    <row r="43" spans="1:148" s="145" customFormat="1" ht="24" thickBot="1" x14ac:dyDescent="0.35">
      <c r="A43" s="2"/>
      <c r="B43" s="43"/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6"/>
      <c r="AH43" s="43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6"/>
      <c r="BN43" s="43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17"/>
      <c r="CU43" s="18"/>
      <c r="CV43" s="19"/>
      <c r="CW43" s="78" t="s">
        <v>10</v>
      </c>
      <c r="CX43" s="77" t="s">
        <v>11</v>
      </c>
      <c r="CY43" s="76" t="s">
        <v>17</v>
      </c>
      <c r="CZ43" s="77" t="s">
        <v>19</v>
      </c>
      <c r="DA43" s="76" t="s">
        <v>22</v>
      </c>
      <c r="DB43" s="77" t="s">
        <v>15</v>
      </c>
      <c r="DC43" s="76" t="s">
        <v>12</v>
      </c>
      <c r="DD43" s="77" t="s">
        <v>7</v>
      </c>
      <c r="DE43" s="76" t="s">
        <v>23</v>
      </c>
      <c r="DF43" s="77" t="s">
        <v>28</v>
      </c>
      <c r="DG43" s="76" t="s">
        <v>34</v>
      </c>
      <c r="DH43" s="77" t="s">
        <v>37</v>
      </c>
      <c r="DI43" s="76" t="s">
        <v>27</v>
      </c>
      <c r="DJ43" s="77" t="s">
        <v>26</v>
      </c>
      <c r="DK43" s="76" t="s">
        <v>35</v>
      </c>
      <c r="DL43" s="77" t="s">
        <v>31</v>
      </c>
      <c r="DM43" s="14"/>
      <c r="DN43" s="15"/>
      <c r="DO43" s="16"/>
      <c r="DP43" s="79" t="s">
        <v>23</v>
      </c>
      <c r="DQ43" s="80" t="s">
        <v>34</v>
      </c>
      <c r="DR43" s="79" t="s">
        <v>11</v>
      </c>
      <c r="DS43" s="80" t="s">
        <v>19</v>
      </c>
      <c r="DT43" s="81" t="s">
        <v>12</v>
      </c>
      <c r="DU43" s="80" t="s">
        <v>15</v>
      </c>
      <c r="DV43" s="79" t="s">
        <v>27</v>
      </c>
      <c r="DW43" s="80" t="s">
        <v>31</v>
      </c>
      <c r="DX43" s="7"/>
      <c r="DY43" s="9"/>
      <c r="DZ43" s="10"/>
      <c r="EA43" s="82" t="s">
        <v>11</v>
      </c>
      <c r="EB43" s="83" t="s">
        <v>23</v>
      </c>
      <c r="EC43" s="84" t="s">
        <v>12</v>
      </c>
      <c r="ED43" s="83" t="s">
        <v>27</v>
      </c>
      <c r="EE43" s="7"/>
      <c r="EF43" s="9"/>
      <c r="EG43" s="10"/>
      <c r="EH43" s="85" t="s">
        <v>11</v>
      </c>
      <c r="EI43" s="86" t="s">
        <v>12</v>
      </c>
      <c r="EJ43" s="7"/>
      <c r="EK43" s="9"/>
      <c r="EL43" s="10"/>
      <c r="EM43" s="87" t="s">
        <v>23</v>
      </c>
      <c r="EN43" s="88" t="s">
        <v>27</v>
      </c>
      <c r="EO43" s="89" t="s">
        <v>46</v>
      </c>
      <c r="EP43" s="7"/>
      <c r="EQ43" s="9"/>
      <c r="ER43" s="10"/>
    </row>
    <row r="44" spans="1:148" s="151" customFormat="1" ht="16.5" thickBot="1" x14ac:dyDescent="0.35">
      <c r="A44" s="146" t="s">
        <v>61</v>
      </c>
      <c r="B44" s="92">
        <v>2</v>
      </c>
      <c r="C44" s="93">
        <v>1</v>
      </c>
      <c r="D44" s="94">
        <v>1</v>
      </c>
      <c r="E44" s="93">
        <v>3</v>
      </c>
      <c r="F44" s="94">
        <v>1</v>
      </c>
      <c r="G44" s="93">
        <v>1</v>
      </c>
      <c r="H44" s="94">
        <v>0</v>
      </c>
      <c r="I44" s="93">
        <v>1</v>
      </c>
      <c r="J44" s="94">
        <v>1</v>
      </c>
      <c r="K44" s="93">
        <v>0</v>
      </c>
      <c r="L44" s="94">
        <v>1</v>
      </c>
      <c r="M44" s="93">
        <v>1</v>
      </c>
      <c r="N44" s="94">
        <v>2</v>
      </c>
      <c r="O44" s="93">
        <v>0</v>
      </c>
      <c r="P44" s="94">
        <v>1</v>
      </c>
      <c r="Q44" s="93">
        <v>2</v>
      </c>
      <c r="R44" s="94">
        <v>2</v>
      </c>
      <c r="S44" s="93">
        <v>0</v>
      </c>
      <c r="T44" s="94">
        <v>0</v>
      </c>
      <c r="U44" s="93">
        <v>1</v>
      </c>
      <c r="V44" s="94">
        <v>2</v>
      </c>
      <c r="W44" s="93">
        <v>1</v>
      </c>
      <c r="X44" s="94">
        <v>1</v>
      </c>
      <c r="Y44" s="93">
        <v>1</v>
      </c>
      <c r="Z44" s="94">
        <v>2</v>
      </c>
      <c r="AA44" s="93">
        <v>0</v>
      </c>
      <c r="AB44" s="94">
        <v>0</v>
      </c>
      <c r="AC44" s="93">
        <v>2</v>
      </c>
      <c r="AD44" s="94">
        <v>2</v>
      </c>
      <c r="AE44" s="93">
        <v>0</v>
      </c>
      <c r="AF44" s="94">
        <v>1</v>
      </c>
      <c r="AG44" s="95">
        <v>1</v>
      </c>
      <c r="AH44" s="92">
        <v>2</v>
      </c>
      <c r="AI44" s="93">
        <v>0</v>
      </c>
      <c r="AJ44" s="94">
        <v>2</v>
      </c>
      <c r="AK44" s="93">
        <v>1</v>
      </c>
      <c r="AL44" s="94">
        <v>2</v>
      </c>
      <c r="AM44" s="93">
        <v>1</v>
      </c>
      <c r="AN44" s="94">
        <v>0</v>
      </c>
      <c r="AO44" s="93">
        <v>2</v>
      </c>
      <c r="AP44" s="94">
        <v>1</v>
      </c>
      <c r="AQ44" s="93">
        <v>2</v>
      </c>
      <c r="AR44" s="94">
        <v>0</v>
      </c>
      <c r="AS44" s="93">
        <v>0</v>
      </c>
      <c r="AT44" s="94">
        <v>1</v>
      </c>
      <c r="AU44" s="93">
        <v>0</v>
      </c>
      <c r="AV44" s="94">
        <v>2</v>
      </c>
      <c r="AW44" s="93">
        <v>0</v>
      </c>
      <c r="AX44" s="94">
        <v>3</v>
      </c>
      <c r="AY44" s="93">
        <v>0</v>
      </c>
      <c r="AZ44" s="94">
        <v>2</v>
      </c>
      <c r="BA44" s="93">
        <v>1</v>
      </c>
      <c r="BB44" s="94">
        <v>2</v>
      </c>
      <c r="BC44" s="93">
        <v>0</v>
      </c>
      <c r="BD44" s="94">
        <v>1</v>
      </c>
      <c r="BE44" s="93">
        <v>1</v>
      </c>
      <c r="BF44" s="94">
        <v>2</v>
      </c>
      <c r="BG44" s="93">
        <v>1</v>
      </c>
      <c r="BH44" s="94">
        <v>3</v>
      </c>
      <c r="BI44" s="93">
        <v>0</v>
      </c>
      <c r="BJ44" s="94">
        <v>1</v>
      </c>
      <c r="BK44" s="93">
        <v>1</v>
      </c>
      <c r="BL44" s="94">
        <v>2</v>
      </c>
      <c r="BM44" s="95">
        <v>0</v>
      </c>
      <c r="BN44" s="97">
        <v>1</v>
      </c>
      <c r="BO44" s="98">
        <v>1</v>
      </c>
      <c r="BP44" s="99">
        <v>1</v>
      </c>
      <c r="BQ44" s="98">
        <v>1</v>
      </c>
      <c r="BR44" s="99">
        <v>2</v>
      </c>
      <c r="BS44" s="98">
        <v>0</v>
      </c>
      <c r="BT44" s="99">
        <v>0</v>
      </c>
      <c r="BU44" s="98">
        <v>1</v>
      </c>
      <c r="BV44" s="99">
        <v>0</v>
      </c>
      <c r="BW44" s="98">
        <v>1</v>
      </c>
      <c r="BX44" s="99">
        <v>1</v>
      </c>
      <c r="BY44" s="98">
        <v>1</v>
      </c>
      <c r="BZ44" s="99">
        <v>1</v>
      </c>
      <c r="CA44" s="98">
        <v>1</v>
      </c>
      <c r="CB44" s="99">
        <v>1</v>
      </c>
      <c r="CC44" s="98">
        <v>1</v>
      </c>
      <c r="CD44" s="99">
        <v>1</v>
      </c>
      <c r="CE44" s="98">
        <v>1</v>
      </c>
      <c r="CF44" s="99">
        <v>0</v>
      </c>
      <c r="CG44" s="98">
        <v>2</v>
      </c>
      <c r="CH44" s="99">
        <v>2</v>
      </c>
      <c r="CI44" s="98">
        <v>1</v>
      </c>
      <c r="CJ44" s="99">
        <v>0</v>
      </c>
      <c r="CK44" s="98">
        <v>2</v>
      </c>
      <c r="CL44" s="99">
        <v>1</v>
      </c>
      <c r="CM44" s="98">
        <v>1</v>
      </c>
      <c r="CN44" s="99">
        <v>2</v>
      </c>
      <c r="CO44" s="98">
        <v>1</v>
      </c>
      <c r="CP44" s="99">
        <v>1</v>
      </c>
      <c r="CQ44" s="98">
        <v>2</v>
      </c>
      <c r="CR44" s="99">
        <v>1</v>
      </c>
      <c r="CS44" s="100">
        <v>1</v>
      </c>
      <c r="CT44" s="21"/>
      <c r="CU44" s="22"/>
      <c r="CV44" s="23"/>
      <c r="CW44" s="96">
        <v>5</v>
      </c>
      <c r="CX44" s="91">
        <v>6</v>
      </c>
      <c r="CY44" s="90">
        <v>0</v>
      </c>
      <c r="CZ44" s="91">
        <v>3</v>
      </c>
      <c r="DA44" s="90">
        <v>5</v>
      </c>
      <c r="DB44" s="91">
        <v>7</v>
      </c>
      <c r="DC44" s="90">
        <v>6</v>
      </c>
      <c r="DD44" s="91">
        <v>5</v>
      </c>
      <c r="DE44" s="90">
        <v>3</v>
      </c>
      <c r="DF44" s="91">
        <v>0</v>
      </c>
      <c r="DG44" s="90">
        <v>2</v>
      </c>
      <c r="DH44" s="91">
        <v>0</v>
      </c>
      <c r="DI44" s="90">
        <v>4</v>
      </c>
      <c r="DJ44" s="91">
        <v>1</v>
      </c>
      <c r="DK44" s="90">
        <v>5</v>
      </c>
      <c r="DL44" s="91">
        <v>6</v>
      </c>
      <c r="DM44" s="48"/>
      <c r="DN44" s="29"/>
      <c r="DO44" s="30"/>
      <c r="DP44" s="90">
        <v>2</v>
      </c>
      <c r="DQ44" s="91">
        <v>1</v>
      </c>
      <c r="DR44" s="90">
        <v>7</v>
      </c>
      <c r="DS44" s="91">
        <v>6</v>
      </c>
      <c r="DT44" s="90">
        <v>2</v>
      </c>
      <c r="DU44" s="91">
        <v>1</v>
      </c>
      <c r="DV44" s="90">
        <v>3</v>
      </c>
      <c r="DW44" s="91">
        <v>0</v>
      </c>
      <c r="DX44" s="27"/>
      <c r="DY44" s="25"/>
      <c r="DZ44" s="26"/>
      <c r="EA44" s="90">
        <v>6</v>
      </c>
      <c r="EB44" s="91">
        <v>7</v>
      </c>
      <c r="EC44" s="90">
        <v>1</v>
      </c>
      <c r="ED44" s="91">
        <v>3</v>
      </c>
      <c r="EE44" s="21"/>
      <c r="EF44" s="22"/>
      <c r="EG44" s="23"/>
      <c r="EH44" s="90">
        <v>2</v>
      </c>
      <c r="EI44" s="91">
        <v>1</v>
      </c>
      <c r="EJ44" s="21"/>
      <c r="EK44" s="22"/>
      <c r="EL44" s="23"/>
      <c r="EM44" s="90">
        <v>1</v>
      </c>
      <c r="EN44" s="91">
        <v>3</v>
      </c>
      <c r="EO44" s="153"/>
      <c r="EP44" s="21"/>
      <c r="EQ44" s="22"/>
      <c r="ER44" s="23"/>
    </row>
    <row r="45" spans="1:148" s="151" customFormat="1" ht="16.5" thickBot="1" x14ac:dyDescent="0.35">
      <c r="A45" s="42"/>
      <c r="B45" s="156">
        <f>IF($B$3="","",IF($B$3=B44,2,0)+IF($C$3=C44,2,0)+IF(OR(AND($B$3&gt;$C$3,B44 &gt; C44),AND($B$3 &lt; $C$3,B44&lt;C44),AND($B$3 = $C$3,B44 = C44)),5,0))</f>
        <v>5</v>
      </c>
      <c r="C45" s="161"/>
      <c r="D45" s="157">
        <f>IF($D$3="","",IF($D$3=D44,2,0)+IF($E$3=E44,2,0)+IF(OR(AND($D$3&gt;$E$3,D44 &gt; E44),AND($D$3 &lt; $E$3,D44&lt;E44),AND($D$3 = $E$3,D44 = E44)),5,0))</f>
        <v>5</v>
      </c>
      <c r="E45" s="157"/>
      <c r="F45" s="157" t="str">
        <f>IF($F$3="","",IF($F$3=F44,2,0)+IF($G$3=G44,2,0)+IF(OR(AND($F$3&gt;$G$3,F44 &gt; G44),AND($F$3 &lt; $G$3,F44&lt;G44),AND($F$3 = $G$3,F44 = G44)),5,0))</f>
        <v/>
      </c>
      <c r="G45" s="157"/>
      <c r="H45" s="157" t="str">
        <f>IF($H$3="","",IF($H$3=H44,2,0)+IF($I$3=I44,2,0)+IF(OR(AND($H$3&gt;$I$3,H44 &gt; I44),AND($H$3 &lt; $I$3,H44&lt;I44),AND($H$3 = $I$3,H44 = I44)),5,0))</f>
        <v/>
      </c>
      <c r="I45" s="157"/>
      <c r="J45" s="157" t="str">
        <f>IF($J$3="","",IF($J$3=J44,2,0)+IF($K$3=K44,2,0)+IF(OR(AND($J$3&gt;$K$3,J44 &gt; K44),AND($J$3 &lt; $K$3,J44&lt;K44),AND($J$3 = $K$3,J44 = K44)),5,0))</f>
        <v/>
      </c>
      <c r="K45" s="157"/>
      <c r="L45" s="157" t="str">
        <f>IF($L$3="","",IF($L$3=L44,2,0)+IF($M$3=M44,2,0)+IF(OR(AND($L$3&gt;$M$3,L44 &gt; M44),AND($L$3 &lt; $M$3,L44&lt;M44),AND($L$3 = $M$3,L44 = M44)),5,0))</f>
        <v/>
      </c>
      <c r="M45" s="157"/>
      <c r="N45" s="157" t="str">
        <f>IF($N$3="","",IF($N$3=N44,2,0)+IF($O$3=O44,2,0)+IF(OR(AND($N$3&gt;$O$3,N44 &gt; O44),AND($N$3 &lt; $O$3,N44&lt;O44),AND($N$3 = $O$3,N44 = O44)),5,0))</f>
        <v/>
      </c>
      <c r="O45" s="157"/>
      <c r="P45" s="157" t="str">
        <f>IF($P$3="","",IF($P$3=P44,2,0)+IF($Q$3=Q44,2,0)+IF(OR(AND($P$3&gt;$Q$3,P44 &gt; Q44),AND($P$3 &lt; $Q$3,P44&lt;Q44),AND($P$3 = $Q$3,P44 = Q44)),5,0))</f>
        <v/>
      </c>
      <c r="Q45" s="157"/>
      <c r="R45" s="157" t="str">
        <f>IF($R$3="","",IF($R$3=R44,2,0)+IF($S$3=S44,2,0)+IF(OR(AND($R$3&gt;$S$3,R44 &gt; S44),AND($R$3 &lt; $S$3,R44&lt;S44),AND($R$3 = $S$3,R44 = S44)),5,0))</f>
        <v/>
      </c>
      <c r="S45" s="157"/>
      <c r="T45" s="157" t="str">
        <f>IF($T$3="","",IF($T$3=T44,2,0)+IF($U$3=U44,2,0)+IF(OR(AND($T$3&gt;$U$3,T44 &gt; U44),AND($T$3 &lt; $U$3,T44&lt;U44),AND($T$3 = $U$3,T44 = U44)),5,0))</f>
        <v/>
      </c>
      <c r="U45" s="157"/>
      <c r="V45" s="157" t="str">
        <f>IF($V$3="","",IF($V$3=V44,2,0)+IF($W$3=W44,2,0)+IF(OR(AND($V$3&gt;$W$3,V44 &gt; W44),AND($V$3 &lt; $W$3,V44&lt;W44),AND($V$3 = $W$3,V44 = W44)),5,0))</f>
        <v/>
      </c>
      <c r="W45" s="157"/>
      <c r="X45" s="157" t="str">
        <f>IF($X$3="","",IF($X$3=X44,2,0)+IF($Y$3=Y44,2,0)+IF(OR(AND($X$3&gt;$Y$3,X44 &gt; Y44),AND($X$3 &lt; $Y$3,X44&lt;Y44),AND($X$3 = $Y$3,X44 = Y44)),5,0))</f>
        <v/>
      </c>
      <c r="Y45" s="157"/>
      <c r="Z45" s="157" t="str">
        <f>IF($Z$3="","",IF($Z$3=Z44,2,0)+IF($AA$3=AA44,2,0)+IF(OR(AND($Z$3&gt;$AA$3,Z44 &gt; AA44),AND($Z$3 &lt; $AA$3,Z44&lt;AA44),AND($Z$3 = $AA$3,Z44 = AA44)),5,0))</f>
        <v/>
      </c>
      <c r="AA45" s="157"/>
      <c r="AB45" s="157" t="str">
        <f>IF($AB$3="","",IF($AB$3=AB44,2,0)+IF($AC$3=AC44,2,0)+IF(OR(AND($AB$3&gt;$AC$3,AB44 &gt; AC44),AND($AB$3 &lt; $AC$3,AB44&lt;AC44),AND($AB$3 = $AC$3,AB44 = AC44)),5,0))</f>
        <v/>
      </c>
      <c r="AC45" s="157"/>
      <c r="AD45" s="157" t="str">
        <f>IF($AD$3="","",IF($AD$3=AD44,2,0)+IF($AE$3=AE44,2,0)+IF(OR(AND($AD$3&gt;$AE$3,AD44 &gt; AE44),AND($AD$3 &lt; $AE$3,AD44&lt;AE44),AND($AD$3 = $AE$3,AD44 = AE44)),5,0))</f>
        <v/>
      </c>
      <c r="AE45" s="157"/>
      <c r="AF45" s="157" t="str">
        <f>IF($AF$3="","",IF($AF$3=AF44,2,0)+IF($AG$3=AG44,2,0)+IF(OR(AND($AF$3&gt;$AG$3,AF44 &gt; AG44),AND($AF$3 &lt; $AG$3,AF44&lt;AG44),AND($AF$3 = $AG$3,AF44 = AG44)),5,0))</f>
        <v/>
      </c>
      <c r="AG45" s="158"/>
      <c r="AH45" s="160" t="str">
        <f>IF($AH$3="","",IF($AH$3=AH44,2,0)+IF($AI$3=AI44,2,0)+IF(OR(AND($AH$3&gt;$AI$3,AH44 &gt; AI44),AND($AH$3 &lt; $AI$3,AH44&lt;AI44),AND($AH$3 = $AI$3,AH44 = AI44)),5,0))</f>
        <v/>
      </c>
      <c r="AI45" s="157"/>
      <c r="AJ45" s="157" t="str">
        <f>IF($AJ$3="","",IF($AJ$3=AJ44,2,0)+IF($AK$3=AK44,2,0)+IF(OR(AND($AJ$3&gt;$AK$3,AJ44 &gt; AK44),AND($AJ$3 &lt; $AK$3,AJ44&lt;AK44),AND($AJ$3 = $AK$3,AJ44 = AK44)),5,0))</f>
        <v/>
      </c>
      <c r="AK45" s="157"/>
      <c r="AL45" s="157" t="str">
        <f>IF($AL$3="","",IF($AL$3=AL44,2,0)+IF($AM$3=AM44,2,0)+IF(OR(AND($AL$3&gt;$AM$3,AL44 &gt; AM44),AND($AL$3 &lt; $AM$3,AL44&lt;AM44),AND($AL$3 = $AM$3,AL44 = AM44)),5,0))</f>
        <v/>
      </c>
      <c r="AM45" s="157"/>
      <c r="AN45" s="157" t="str">
        <f>IF($AN$3="","",IF($AN$3=AN44,2,0)+IF($AO$3=AO44,2,0)+IF(OR(AND($AN$3&gt;$AO$3,AN44 &gt; AO44),AND($AN$3 &lt; $AO$3,AN44&lt;AO44),AND($AN$3 = $AO$3,AN44 = AO44)),5,0))</f>
        <v/>
      </c>
      <c r="AO45" s="157"/>
      <c r="AP45" s="157" t="str">
        <f>IF($AP$3="","",IF($AP$3=AP44,2,0)+IF($AQ$3=AQ44,2,0)+IF(OR(AND($AP$3&gt;$AQ$3,AP44 &gt; AQ44),AND($AP$3 &lt; $AQ$3,AP44&lt;AQ44),AND($AP$3 = $AQ$3,AP44 = AQ44)),5,0))</f>
        <v/>
      </c>
      <c r="AQ45" s="157"/>
      <c r="AR45" s="157" t="str">
        <f>IF($AR$3="","",IF($AR$3=AR44,2,0)+IF($AS$3=AS44,2,0)+IF(OR(AND($AR$3&gt;$AS$3,AR44 &gt; AS44),AND($AR$3 &lt; $AS$3,AR44&lt;AS44),AND($AR$3 = $AS$3,AR44 = AS44)),5,0))</f>
        <v/>
      </c>
      <c r="AS45" s="157"/>
      <c r="AT45" s="157" t="str">
        <f>IF($AT$3="","",IF($AT$3=AT44,2,0)+IF($AU$3=AU44,2,0)+IF(OR(AND($AT$3&gt;$AU$3,AT44 &gt; AU44),AND($AT$3 &lt; $AU$3,AT44&lt;AU44),AND($AT$3 = $AU$3,AT44 = AU44)),5,0))</f>
        <v/>
      </c>
      <c r="AU45" s="157"/>
      <c r="AV45" s="157" t="str">
        <f>IF($AV$3="","",IF($AV$3=AV44,2,0)+IF($AW$3=AW44,2,0)+IF(OR(AND($AV$3&gt;$AW$3,AV44 &gt; AW44),AND($AV$3 &lt; $AW$3,AV44&lt;AW44),AND($AV$3 = $AW$3,AV44 = AW44)),5,0))</f>
        <v/>
      </c>
      <c r="AW45" s="157"/>
      <c r="AX45" s="157" t="str">
        <f>IF($AX$3="","",IF($AX$3=AX44,2,0)+IF($AY$3=AY44,2,0)+IF(OR(AND($AX$3&gt;$AY$3,AX44 &gt; AY44),AND($AX$3 &lt; $AY$3,AX44&lt;AY44),AND($AX$3 = $AY$3,AX44 = AY44)),5,0))</f>
        <v/>
      </c>
      <c r="AY45" s="157"/>
      <c r="AZ45" s="157" t="str">
        <f>IF($AZ$3="","",IF($AZ$3=AZ44,2,0)+IF($BA$3=BA44,2,0)+IF(OR(AND($AZ$3&gt;$BA$3,AZ44 &gt; BA44),AND($AZ$3 &lt; $BA$3,AZ44&lt;BA44),AND($AZ$3 = $BA$3,AZ44 = BA44)),5,0))</f>
        <v/>
      </c>
      <c r="BA45" s="157"/>
      <c r="BB45" s="157" t="str">
        <f>IF($BB$3="","",IF($BB$3=BB44,2,0)+IF($BC$3=BC44,2,0)+IF(OR(AND($BB$3&gt;$BC$3,BB44 &gt; BC44),AND($BB$3 &lt; $BC$3,BB44&lt;BC44),AND($BB$3 = $BC$3,BB44 = BC44)),5,0))</f>
        <v/>
      </c>
      <c r="BC45" s="157"/>
      <c r="BD45" s="157" t="str">
        <f>IF($BD$3="","",IF($BD$3=BD44,2,0)+IF($BE$3=BE44,2,0)+IF(OR(AND($BD$3&gt;$BE$3,BD44 &gt; BE44),AND($BD$3 &lt; $BE$3,BD44&lt;BE44),AND($BD$3 = $BE$3,BD44 = BE44)),5,0))</f>
        <v/>
      </c>
      <c r="BE45" s="157"/>
      <c r="BF45" s="157" t="str">
        <f>IF($BF$3="","",IF($BF$3=BF44,2,0)+IF($BG$3=BG44,2,0)+IF(OR(AND($BF$3&gt;$BG$3,BF44 &gt; BG44),AND($BF$3 &lt; $BG$3,BF44&lt;BG44),AND($BF$3 = $BG$3,BF44 = BG44)),5,0))</f>
        <v/>
      </c>
      <c r="BG45" s="157"/>
      <c r="BH45" s="157" t="str">
        <f>IF($BH$3="","",IF($BH$3=BH44,2,0)+IF($BI$3=BI44,2,0)+IF(OR(AND($BH$3&gt;$BI$3,BH44 &gt; BI44),AND($BH$3 &lt; $BI$3,BH44&lt;BI44),AND($BH$3 = $BI$3,BH44 = BI44)),5,0))</f>
        <v/>
      </c>
      <c r="BI45" s="157"/>
      <c r="BJ45" s="157" t="str">
        <f>IF($BJ$3="","",IF($BJ$3=BJ44,2,0)+IF($BK$3=BK44,2,0)+IF(OR(AND($BJ$3&gt;$BK$3,BJ44 &gt; BK44),AND($BJ$3 &lt; $BK$3,BJ44&lt;BK44),AND($BJ$3 = $BK$3,BJ44 = BK44)),5,0))</f>
        <v/>
      </c>
      <c r="BK45" s="157"/>
      <c r="BL45" s="157" t="str">
        <f>IF($BL$3="","",IF($BL$3=BL44,2,0)+IF($BM$3=BM44,2,0)+IF(OR(AND($BL$3&gt;$BM$3,BL44 &gt; BM44),AND($BL$3 &lt; $BM$3,BL44&lt;BM44),AND($BL$3 = $BM$3,BL44 = BM44)),5,0))</f>
        <v/>
      </c>
      <c r="BM45" s="154"/>
      <c r="BN45" s="156" t="str">
        <f>IF($BN$3="","",IF($BN$3=BN44,2,0)+IF($BO$3=BO44,2,0)+IF(OR(AND($BN$3&gt;$BO$3,BN44 &gt; BO44),AND($BN$3 &lt; $BO$3,BN44&lt;BO44),AND($BN$3 = $BO$3,BN44 = BO44)),5,0))</f>
        <v/>
      </c>
      <c r="BO45" s="157"/>
      <c r="BP45" s="157" t="str">
        <f>IF($BP$3="","",IF($BP$3=BP44,2,0)+IF($BQ$3=BQ44,2,0)+IF(OR(AND($BP$3&gt;$BQ$3,BP44 &gt; BQ44),AND($BP$3 &lt; $BQ$3,BP44&lt;BQ44),AND($BP$3 = $BQ$3,BP44 = BQ44)),5,0))</f>
        <v/>
      </c>
      <c r="BQ45" s="157"/>
      <c r="BR45" s="157" t="str">
        <f>IF($BR$3="","",IF($BR$3=BR44,2,0)+IF($BS$3=BS44,2,0)+IF(OR(AND($BR$3&gt;$BS$3,BR44 &gt; BS44),AND($BR$3 &lt; $BS$3,BR44&lt;BS44),AND($BR$3 = $BS$3,BR44 = BS44)),5,0))</f>
        <v/>
      </c>
      <c r="BS45" s="157"/>
      <c r="BT45" s="157" t="str">
        <f>IF($BT$3="","",IF($BT$3=BT44,2,0)+IF($BU$3=BU44,2,0)+IF(OR(AND($BT$3&gt;$BU$3,BT44 &gt; BU44),AND($BT$3 &lt; $BU$3,BT44&lt;BU44),AND($BT$3 = $BU$3,BT44 = BU44)),5,0))</f>
        <v/>
      </c>
      <c r="BU45" s="157"/>
      <c r="BV45" s="157" t="str">
        <f>IF($BV$3="","",IF($BV$3=BV44,2,0)+IF($BW$3=BW44,2,0)+IF(OR(AND($BV$3&gt;$BW$3,BV44 &gt; BW44),AND($BV$3 &lt; $BW$3,BV44&lt;BW44),AND($BV$3 = $BW$3,BV44 = BW44)),5,0))</f>
        <v/>
      </c>
      <c r="BW45" s="157"/>
      <c r="BX45" s="157" t="str">
        <f>IF($BX$3="","",IF($BX$3=BX44,2,0)+IF($BY$3=BY44,2,0)+IF(OR(AND($BX$3&gt;$BY$3,BX44 &gt; BY44),AND($BX$3 &lt; $BY$3,BX44&lt;BY44),AND($BX$3 = $BY$3,BX44 = BY44)),5,0))</f>
        <v/>
      </c>
      <c r="BY45" s="157"/>
      <c r="BZ45" s="157" t="str">
        <f>IF($BZ$3="","",IF($BZ$3=BZ44,2,0)+IF($CA$3=CA44,2,0)+IF(OR(AND($BZ$3&gt;$CA$3,BZ44 &gt; CA44),AND($BZ$3 &lt; $CA$3,BZ44&lt;CA44),AND($BZ$3 = $CA$3,BZ44 = CA44)),5,0))</f>
        <v/>
      </c>
      <c r="CA45" s="157"/>
      <c r="CB45" s="157" t="str">
        <f>IF($CB$3="","",IF($CB$3=CB44,2,0)+IF($CC$3=CC44,2,0)+IF(OR(AND($CB$3&gt;$CC$3,CB44 &gt; CC44),AND($CB$3 &lt; $CC$3,CB44&lt;CC44),AND($CB$3 = $CC$3,CB44 = CC44)),5,0))</f>
        <v/>
      </c>
      <c r="CC45" s="157"/>
      <c r="CD45" s="157" t="str">
        <f>IF($CD$3="","",IF($CD$3=CD44,2,0)+IF($CE$3=CE44,2,0)+IF(OR(AND($CD$3&gt;$CE$3,CD44 &gt; CE44),AND($CD$3 &lt; $CE$3,CD44&lt;$CE$5),AND($CD$3 = $CE$3,CD44 = CE44)),5,0))</f>
        <v/>
      </c>
      <c r="CE45" s="157"/>
      <c r="CF45" s="157" t="str">
        <f>IF($CF$3="","",IF($CF$3=CF44,2,0)+IF($CG$3=CG44,2,0)+IF(OR(AND($CF$3&gt;$CG$3,CF44 &gt; CG44),AND($CF$3 &lt; $CG$3,CF44&lt;CG44),AND($CF$3 = $CG$3,CF44 = CG44)),5,0))</f>
        <v/>
      </c>
      <c r="CG45" s="157"/>
      <c r="CH45" s="157" t="str">
        <f>IF($CH$3="","",IF($CH$3=CH44,2,0)+IF($CI$3=CI44,2,0)+IF(OR(AND($CH$3&gt;$CI$3,CH44 &gt; CI44),AND($CH$3 &lt; $CI$3,CH44&lt;CI44),AND($CH$3 = $CI$3,CH44 = CI44)),5,0))</f>
        <v/>
      </c>
      <c r="CI45" s="157"/>
      <c r="CJ45" s="157" t="str">
        <f>IF($CJ$3="","",IF($CJ$3=CJ44,2,0)+IF($CK$3=CK44,2,0)+IF(OR(AND($CJ$3&gt;$CK$3,CJ44 &gt; CK44),AND($CJ$3 &lt; $CK$3,CJ44&lt;CK44),AND($CJ$3 = $CK$3,CJ44 = CK44)),5,0))</f>
        <v/>
      </c>
      <c r="CK45" s="157"/>
      <c r="CL45" s="157" t="str">
        <f>IF($CL$3="","",IF($CL$3=CL44,2,0)+IF($CM$3=CM44,2,0)+IF(OR(AND($CL$3&gt;$CM$3,CL44 &gt; CM44),AND($CL$3 &lt; $CM$3,CL44&lt;CM44),AND($CL$3 = $CM$3,CL44 = CM44)),5,0))</f>
        <v/>
      </c>
      <c r="CM45" s="157"/>
      <c r="CN45" s="157" t="str">
        <f>IF($CN$3="","",IF($CN$3=CN44,2,0)+IF($CO$3=CO44,2,0)+IF(OR(AND($CN$3&gt;$CO$3,CN44 &gt; CO44),AND($CN$3 &lt; $CO$3,CN44&lt;CO44),AND($CN$3 = $CO$3,CN44 = CO44)),5,0))</f>
        <v/>
      </c>
      <c r="CO45" s="157"/>
      <c r="CP45" s="157" t="str">
        <f>IF($CP$3="","",IF($CP$3=CP44,2,0)+IF($CQ$3=CQ44,2,0)+IF(OR(AND($CP$3&gt;$CQ$3,CP44 &gt; CQ44),AND($CP$3 &lt; $CQ$3,CP44&lt;CQ44),AND($CP$3 = $CQ$3,CP44 = CQ44)),5,0))</f>
        <v/>
      </c>
      <c r="CQ45" s="157"/>
      <c r="CR45" s="157" t="str">
        <f>IF($CR$3="","",IF($CR$3=CR44,2,0)+IF($CS$3=CS44,2,0)+IF(OR(AND($CR$3&gt;$CS$3,CR44 &gt; CS44),AND($CR$3 &lt; $CS$3,CR44&lt;CS44),AND($CR$3 = $CS$3,CR44 = CS44)),5,0))</f>
        <v/>
      </c>
      <c r="CS45" s="154"/>
      <c r="CT45" s="24">
        <f>SUM(B45:CS45)</f>
        <v>10</v>
      </c>
      <c r="CU45" s="12">
        <f>IF(AND(CW43=$CW$2,CW43&lt;&gt;""),2,0)+IF(AND(CX43=$CX$2,CX43&lt;&gt;""),2,0)+IF(AND(CY43=$CY$2,CY43&lt;&gt;""),2,0)+IF(AND(CZ43=$CZ$2,CZ43&lt;&gt;""),2,0)+IF(AND(DA43=$DA$2,DA43&lt;&gt;""),2,0)+IF(AND(DB43=$DB$2,DB43&lt;&gt;""),2,0)+IF(AND(DC43=$DC$2,DC43&lt;&gt;""),2,0)+IF(AND(DD43=$DD$2,DD43&lt;&gt;""),2,0)+IF(AND(DE43=$DE$2,DE43&lt;&gt;""),2,0)+IF(AND(DF43=$DF$2,DF43&lt;&gt;""),2,0)+IF(AND(DG43=$DG$2,DG43&lt;&gt;""),2,0)+IF(AND(DH43=$DH$2,DH43&lt;&gt;""),2,0)+IF(AND(DI43=$DI$2,DI43&lt;&gt;""),2,0)+IF(AND(DJ43=$DJ$2,DJ43&lt;&gt;""),2,0)+IF(AND(DK43=$DK$2,DK43&lt;&gt;""),2,0)+IF(AND(DL43=$DL$2,DL43&lt;&gt;""),2,0)</f>
        <v>0</v>
      </c>
      <c r="CV45" s="11">
        <f>CT45+CU45</f>
        <v>10</v>
      </c>
      <c r="CW45" s="156" t="str">
        <f>IF($CW$3="","",IF($CW$3=CW44,2,0)+IF($CX$3=CX44,2,0)+IF(OR(AND($CW$3&gt;$CX$3,CW44 &gt; CX44),AND($CW$3 &lt; $CX$3,CW44&lt;CX44),AND($CW$3 = $CX$3,CW44 = CX44)),5,0))</f>
        <v/>
      </c>
      <c r="CX45" s="157"/>
      <c r="CY45" s="157" t="str">
        <f>IF($CY$3="","",IF($CY$3=CY44,2,0)+IF($CZ$3=CZ44,2,0)+IF(OR(AND($CY$3&gt;$CZ$3,CY44 &gt; CZ44),AND($CY$3 &lt; $CZ$3,CY44&lt;CZ44),AND($CY$3 = $CZ$3,CY44 = CZ44)),5,0))</f>
        <v/>
      </c>
      <c r="CZ45" s="157"/>
      <c r="DA45" s="157" t="str">
        <f>IF($DA42="","",IF($DA$3=DA44,2,0)+IF($DB$3=DB44,2,0)+IF(OR(AND($DA$3&gt;$DB$3,DA44 &gt; DB44),AND($DA$3 &lt; $DB$3,DA44&lt;DB44),AND($DA$3 = $DB$3,DA44 = DB44)),5,0))</f>
        <v/>
      </c>
      <c r="DB45" s="157"/>
      <c r="DC45" s="157" t="str">
        <f>IF($DC$3="","",IF($DC$3=DC44,2,0)+IF($DD$3=DD44,2,0)+IF(OR(AND($DC$3&gt;$DD$3,DC44 &gt; DD44),AND($DC$3 &lt; $DD$3,DC44&lt;DD44),AND($DC$3 = $DD$3,DC44 = DD44)),5,0))</f>
        <v/>
      </c>
      <c r="DD45" s="157"/>
      <c r="DE45" s="157" t="str">
        <f>IF($DE$3="","",IF($DE$3=DE44,2,0)+IF($DF$3=DF44,2,0)+IF(OR(AND($DE$3&gt;$DF$3,DE44 &gt; DF44),AND($DE$3 &lt; $DF$3,DE44&lt;DF44),AND($DE$3 = $DF$3,DE44 = DF44)),5,0))</f>
        <v/>
      </c>
      <c r="DF45" s="157"/>
      <c r="DG45" s="157" t="str">
        <f>IF($DG$3="","",IF($DG$3=DG44,2,0)+IF($DH$3=DH44,2,0)+IF(OR(AND($DG$3&gt;$DH$3,DG44 &gt; DH44),AND($DG$3 &lt; $DH$3,DG44&lt;DH44),AND($DG$3 = $DH$3,DG44 = DH44)),5,0))</f>
        <v/>
      </c>
      <c r="DH45" s="157"/>
      <c r="DI45" s="157" t="str">
        <f>IF($DI$3="","",IF($DI$3=DI44,2,0)+IF($DJ$3=DJ44,2,0)+IF(OR(AND($DI$3&gt;$DJ$3,DI44 &gt; DJ44),AND($DI$3 &lt; $DJ$3,DI44&lt;DJ44),AND($DI$3 = $DJ$3,DI44 = DJ44)),5,0))</f>
        <v/>
      </c>
      <c r="DJ45" s="157"/>
      <c r="DK45" s="157" t="str">
        <f>IF($DK$3="","",IF($DK$3=DK44,2,0)+IF($DL$3=DL44,2,0)+IF(OR(AND($DK$3&gt;$DL$3,DK44 &gt; DL44),AND($DK$3 &lt; $DL$3,DK44&lt;DL44),AND($DK$3 = $DL$3,DK44 = DL44)),5,0))</f>
        <v/>
      </c>
      <c r="DL45" s="154"/>
      <c r="DM45" s="24">
        <f>SUM(CW45:DL45)</f>
        <v>0</v>
      </c>
      <c r="DN45" s="12">
        <f>IF(AND(DP43=$DP$2,DP43&lt;&gt;""),2,0)+IF(AND(DQ43=$DQ$2,DQ43&lt;&gt;""),2,0)+IF(AND(DR43=$DR$2,DR43&lt;&gt;""),2,0)+IF(AND(DS43=$DS$2,DS43&lt;&gt;""),2,0)+IF(AND(DT43=$DT$2,DT43&lt;&gt;""),2,0)+IF(AND(DU43=$DU$2,DU43&lt;&gt;""),2,0)+IF(AND(DV43=$DV$2,DV43&lt;&gt;""),2,0)+IF(AND(DW43=$DW$2,DW43&lt;&gt;""),2,0)</f>
        <v>0</v>
      </c>
      <c r="DO45" s="11">
        <f>CV45+DM45+DN45</f>
        <v>10</v>
      </c>
      <c r="DP45" s="159" t="str">
        <f>IF($DP$3="","",IF($DP$3=DP44,2,0)+IF($DQ$3=DQ44,2,0)+IF(OR(AND($DP$3&gt;$DQ$3,DP44 &gt; DQ44),AND($DP$3 &lt; $DQ$3,DP44&lt;DQ44),AND($DP$3 = $DQ$3,DP44 = DQ44)),5,0))</f>
        <v/>
      </c>
      <c r="DQ45" s="160"/>
      <c r="DR45" s="154" t="str">
        <f>IF($DR$3="","",IF($DR$3=DR44,2,0)+IF($DS$3=DS44,2,0)+IF(OR(AND($DR$3&gt;$DS$3,DR44 &gt; DS44),AND($DR$3 &lt; $DS$3,DR44&lt;DS44),AND($DR$3 = $DS$3,DR44 = DS44)),5,0))</f>
        <v/>
      </c>
      <c r="DS45" s="160"/>
      <c r="DT45" s="154" t="str">
        <f>IF($DT$3="","",IF($DT$3=DT44,2,0)+IF($DU$3=DU44,2,0)+IF(OR(AND($DT$3&gt;$DU$3,DT44 &gt; DU44),AND($DT$3 &lt; $DU$3,DT44&lt;DU44),AND($DT$3 = $DU$3,DT44 = DU44)),5,0))</f>
        <v/>
      </c>
      <c r="DU45" s="160"/>
      <c r="DV45" s="154" t="str">
        <f>IF($DV$3="","",IF($DV42=DV44,2,0)+IF($DW$3=DW44,2,0)+IF(OR(AND($DV$3&gt;$DW$3,DV44 &gt; DW44),AND($DV$3 &lt; $DW$3,DV44&lt;DW44),AND($DV$3 = $DW$3,DV44 = DW44)),5,0))</f>
        <v/>
      </c>
      <c r="DW45" s="155"/>
      <c r="DX45" s="24">
        <f>SUM(DP45:DW45)</f>
        <v>0</v>
      </c>
      <c r="DY45" s="12">
        <f>IF(AND(EA43=$EA$2,EA43&lt;&gt;""),3,0)+IF(AND(EB43=$EB$2,EB43&lt;&gt;""),3,0)+IF(AND(EC43=$EC$2,EC43&lt;&gt;""),3,0)+IF(AND(ED43=$ED$2,ED43&lt;&gt;""),3,0)</f>
        <v>0</v>
      </c>
      <c r="DZ45" s="11">
        <f>DO45+DX45+DY45</f>
        <v>10</v>
      </c>
      <c r="EA45" s="156" t="str">
        <f>IF($EA$3="","",IF($EA$3=EA44,2,0)+IF($EB$3=EB44,2,0)+IF(OR(AND($EA$3&gt;$EB$3,EA44 &gt; EB44),AND($EA$3 &lt; $EB$3,EA44&lt;EB44),AND($EA$3 = $EB$3,EA44 = EB44)),5,0))</f>
        <v/>
      </c>
      <c r="EB45" s="157"/>
      <c r="EC45" s="157" t="str">
        <f>IF($EC$3="","",IF($EC$3=EC44,2,0)+IF($ED$3=ED44,2,0)+IF(OR(AND($EC$3&gt;$ED$3,EC44 &gt; ED44),AND($EC$3 &lt; $ED$3,EC44&lt;ED44),AND($EC$3 = $ED$3,EC44 = ED44)),5,0))</f>
        <v/>
      </c>
      <c r="ED45" s="154"/>
      <c r="EE45" s="24">
        <f>SUM(EA45:ED45)</f>
        <v>0</v>
      </c>
      <c r="EF45" s="12">
        <f>IF(AND(EH43=$EH$2,EH43&lt;&gt;""),3,0)+IF(AND(EI43=$EI$2,EI43&lt;&gt;""),3,0)</f>
        <v>0</v>
      </c>
      <c r="EG45" s="11">
        <f>DZ45+EE45+EF45</f>
        <v>10</v>
      </c>
      <c r="EH45" s="156" t="str">
        <f>IF($EH$3="","",IF($EH$3=EH44,2,0)+IF($EI$3=EI44,2,0)+IF(OR(AND($EH$3&gt;$EI$3,EH44 &gt; EI44),AND($EH$3 &lt; $EI$3,EH44&lt;EI44),AND($EH$3 = $EI$3,EH44 = EI44)),5,0))</f>
        <v/>
      </c>
      <c r="EI45" s="154"/>
      <c r="EJ45" s="24">
        <f>SUM(EH45:EI45)</f>
        <v>0</v>
      </c>
      <c r="EK45" s="12">
        <f>IF(AND(EM43=$EM$2,EM43&lt;&gt;""),5,0)+IF(AND(EN43=$EN$2,EN43&lt;&gt;""),5,0)</f>
        <v>0</v>
      </c>
      <c r="EL45" s="11">
        <f>EG45+EJ45+EK45</f>
        <v>10</v>
      </c>
      <c r="EM45" s="156" t="str">
        <f>IF($EM$3="","",IF($EM$3=EM44,2,0)+IF($EN$3=EN44,2,0)+IF(OR(AND($EM$3&gt;$EN$3,EM44 &gt; EN44),AND($EM$3 &lt; $EN$3,EM44&lt;EN44),AND($EM$3 = $EN$3,EM44 = EN44)),5,0))</f>
        <v/>
      </c>
      <c r="EN45" s="158"/>
      <c r="EO45" s="152"/>
      <c r="EP45" s="8" t="str">
        <f>EM45</f>
        <v/>
      </c>
      <c r="EQ45" s="20">
        <f>IF(AND(EO43=$EO$2,EO43&lt;&gt;""),10,0)</f>
        <v>0</v>
      </c>
      <c r="ER45" s="11" t="e">
        <f>EL45+EP45+EQ45</f>
        <v>#VALUE!</v>
      </c>
    </row>
    <row r="46" spans="1:148" s="145" customFormat="1" ht="24" thickBot="1" x14ac:dyDescent="0.35">
      <c r="A46" s="2"/>
      <c r="B46" s="43"/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6"/>
      <c r="AH46" s="43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6"/>
      <c r="BN46" s="43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17"/>
      <c r="CU46" s="18"/>
      <c r="CV46" s="19"/>
      <c r="CW46" s="78" t="s">
        <v>7</v>
      </c>
      <c r="CX46" s="77" t="s">
        <v>11</v>
      </c>
      <c r="CY46" s="76" t="s">
        <v>15</v>
      </c>
      <c r="CZ46" s="77" t="s">
        <v>20</v>
      </c>
      <c r="DA46" s="76" t="s">
        <v>19</v>
      </c>
      <c r="DB46" s="77" t="s">
        <v>16</v>
      </c>
      <c r="DC46" s="76" t="s">
        <v>12</v>
      </c>
      <c r="DD46" s="77" t="s">
        <v>10</v>
      </c>
      <c r="DE46" s="76" t="s">
        <v>23</v>
      </c>
      <c r="DF46" s="77" t="s">
        <v>29</v>
      </c>
      <c r="DG46" s="76" t="s">
        <v>34</v>
      </c>
      <c r="DH46" s="77" t="s">
        <v>35</v>
      </c>
      <c r="DI46" s="76" t="s">
        <v>27</v>
      </c>
      <c r="DJ46" s="77" t="s">
        <v>24</v>
      </c>
      <c r="DK46" s="76" t="s">
        <v>37</v>
      </c>
      <c r="DL46" s="77" t="s">
        <v>31</v>
      </c>
      <c r="DM46" s="14"/>
      <c r="DN46" s="15"/>
      <c r="DO46" s="16"/>
      <c r="DP46" s="79" t="s">
        <v>23</v>
      </c>
      <c r="DQ46" s="80" t="s">
        <v>34</v>
      </c>
      <c r="DR46" s="79" t="s">
        <v>7</v>
      </c>
      <c r="DS46" s="80" t="s">
        <v>15</v>
      </c>
      <c r="DT46" s="81" t="s">
        <v>12</v>
      </c>
      <c r="DU46" s="80" t="s">
        <v>16</v>
      </c>
      <c r="DV46" s="79" t="s">
        <v>27</v>
      </c>
      <c r="DW46" s="80" t="s">
        <v>37</v>
      </c>
      <c r="DX46" s="7"/>
      <c r="DY46" s="9"/>
      <c r="DZ46" s="10"/>
      <c r="EA46" s="82" t="s">
        <v>7</v>
      </c>
      <c r="EB46" s="83" t="s">
        <v>34</v>
      </c>
      <c r="EC46" s="84" t="s">
        <v>12</v>
      </c>
      <c r="ED46" s="83" t="s">
        <v>27</v>
      </c>
      <c r="EE46" s="7"/>
      <c r="EF46" s="9"/>
      <c r="EG46" s="10"/>
      <c r="EH46" s="85" t="s">
        <v>34</v>
      </c>
      <c r="EI46" s="86" t="s">
        <v>12</v>
      </c>
      <c r="EJ46" s="7"/>
      <c r="EK46" s="9"/>
      <c r="EL46" s="10"/>
      <c r="EM46" s="87" t="s">
        <v>7</v>
      </c>
      <c r="EN46" s="88" t="s">
        <v>27</v>
      </c>
      <c r="EO46" s="89" t="s">
        <v>46</v>
      </c>
      <c r="EP46" s="7"/>
      <c r="EQ46" s="9"/>
      <c r="ER46" s="10"/>
    </row>
    <row r="47" spans="1:148" s="151" customFormat="1" ht="16.5" thickBot="1" x14ac:dyDescent="0.35">
      <c r="A47" s="90" t="s">
        <v>62</v>
      </c>
      <c r="B47" s="92">
        <v>2</v>
      </c>
      <c r="C47" s="93">
        <v>1</v>
      </c>
      <c r="D47" s="94">
        <v>1</v>
      </c>
      <c r="E47" s="93">
        <v>3</v>
      </c>
      <c r="F47" s="94">
        <v>2</v>
      </c>
      <c r="G47" s="93">
        <v>3</v>
      </c>
      <c r="H47" s="94">
        <v>1</v>
      </c>
      <c r="I47" s="93">
        <v>0</v>
      </c>
      <c r="J47" s="94">
        <v>3</v>
      </c>
      <c r="K47" s="93">
        <v>1</v>
      </c>
      <c r="L47" s="94">
        <v>1</v>
      </c>
      <c r="M47" s="93">
        <v>1</v>
      </c>
      <c r="N47" s="94">
        <v>3</v>
      </c>
      <c r="O47" s="93">
        <v>1</v>
      </c>
      <c r="P47" s="94">
        <v>1</v>
      </c>
      <c r="Q47" s="93">
        <v>2</v>
      </c>
      <c r="R47" s="94">
        <v>2</v>
      </c>
      <c r="S47" s="93">
        <v>1</v>
      </c>
      <c r="T47" s="94">
        <v>2</v>
      </c>
      <c r="U47" s="93">
        <v>1</v>
      </c>
      <c r="V47" s="94">
        <v>3</v>
      </c>
      <c r="W47" s="93">
        <v>1</v>
      </c>
      <c r="X47" s="94">
        <v>2</v>
      </c>
      <c r="Y47" s="93">
        <v>1</v>
      </c>
      <c r="Z47" s="94">
        <v>2</v>
      </c>
      <c r="AA47" s="93">
        <v>1</v>
      </c>
      <c r="AB47" s="94">
        <v>2</v>
      </c>
      <c r="AC47" s="93">
        <v>3</v>
      </c>
      <c r="AD47" s="94">
        <v>2</v>
      </c>
      <c r="AE47" s="93">
        <v>1</v>
      </c>
      <c r="AF47" s="94">
        <v>3</v>
      </c>
      <c r="AG47" s="95">
        <v>1</v>
      </c>
      <c r="AH47" s="92">
        <v>4</v>
      </c>
      <c r="AI47" s="93">
        <v>1</v>
      </c>
      <c r="AJ47" s="94">
        <v>2</v>
      </c>
      <c r="AK47" s="93">
        <v>1</v>
      </c>
      <c r="AL47" s="94">
        <v>3</v>
      </c>
      <c r="AM47" s="93">
        <v>0</v>
      </c>
      <c r="AN47" s="94">
        <v>1</v>
      </c>
      <c r="AO47" s="93">
        <v>4</v>
      </c>
      <c r="AP47" s="94">
        <v>2</v>
      </c>
      <c r="AQ47" s="93">
        <v>1</v>
      </c>
      <c r="AR47" s="94">
        <v>2</v>
      </c>
      <c r="AS47" s="93">
        <v>2</v>
      </c>
      <c r="AT47" s="94">
        <v>4</v>
      </c>
      <c r="AU47" s="93">
        <v>0</v>
      </c>
      <c r="AV47" s="94">
        <v>1</v>
      </c>
      <c r="AW47" s="93">
        <v>1</v>
      </c>
      <c r="AX47" s="94">
        <v>2</v>
      </c>
      <c r="AY47" s="93">
        <v>1</v>
      </c>
      <c r="AZ47" s="94">
        <v>1</v>
      </c>
      <c r="BA47" s="93">
        <v>3</v>
      </c>
      <c r="BB47" s="94">
        <v>4</v>
      </c>
      <c r="BC47" s="93">
        <v>0</v>
      </c>
      <c r="BD47" s="94">
        <v>0</v>
      </c>
      <c r="BE47" s="93">
        <v>2</v>
      </c>
      <c r="BF47" s="94">
        <v>1</v>
      </c>
      <c r="BG47" s="93">
        <v>1</v>
      </c>
      <c r="BH47" s="94">
        <v>2</v>
      </c>
      <c r="BI47" s="93">
        <v>0</v>
      </c>
      <c r="BJ47" s="94">
        <v>0</v>
      </c>
      <c r="BK47" s="93">
        <v>2</v>
      </c>
      <c r="BL47" s="94">
        <v>1</v>
      </c>
      <c r="BM47" s="95">
        <v>1</v>
      </c>
      <c r="BN47" s="97">
        <v>3</v>
      </c>
      <c r="BO47" s="98">
        <v>1</v>
      </c>
      <c r="BP47" s="99">
        <v>2</v>
      </c>
      <c r="BQ47" s="98">
        <v>4</v>
      </c>
      <c r="BR47" s="99">
        <v>3</v>
      </c>
      <c r="BS47" s="98">
        <v>1</v>
      </c>
      <c r="BT47" s="99">
        <v>0</v>
      </c>
      <c r="BU47" s="98">
        <v>4</v>
      </c>
      <c r="BV47" s="99">
        <v>3</v>
      </c>
      <c r="BW47" s="98">
        <v>0</v>
      </c>
      <c r="BX47" s="99">
        <v>1</v>
      </c>
      <c r="BY47" s="98">
        <v>3</v>
      </c>
      <c r="BZ47" s="99">
        <v>2</v>
      </c>
      <c r="CA47" s="98">
        <v>1</v>
      </c>
      <c r="CB47" s="99">
        <v>1</v>
      </c>
      <c r="CC47" s="98">
        <v>2</v>
      </c>
      <c r="CD47" s="99">
        <v>2</v>
      </c>
      <c r="CE47" s="98">
        <v>2</v>
      </c>
      <c r="CF47" s="99">
        <v>0</v>
      </c>
      <c r="CG47" s="98">
        <v>3</v>
      </c>
      <c r="CH47" s="99">
        <v>1</v>
      </c>
      <c r="CI47" s="98">
        <v>2</v>
      </c>
      <c r="CJ47" s="99">
        <v>0</v>
      </c>
      <c r="CK47" s="98">
        <v>2</v>
      </c>
      <c r="CL47" s="99">
        <v>2</v>
      </c>
      <c r="CM47" s="98">
        <v>2</v>
      </c>
      <c r="CN47" s="99">
        <v>2</v>
      </c>
      <c r="CO47" s="98">
        <v>1</v>
      </c>
      <c r="CP47" s="99">
        <v>1</v>
      </c>
      <c r="CQ47" s="98">
        <v>2</v>
      </c>
      <c r="CR47" s="99">
        <v>0</v>
      </c>
      <c r="CS47" s="100">
        <v>2</v>
      </c>
      <c r="CT47" s="21"/>
      <c r="CU47" s="22"/>
      <c r="CV47" s="23"/>
      <c r="CW47" s="96">
        <v>8</v>
      </c>
      <c r="CX47" s="91">
        <v>7</v>
      </c>
      <c r="CY47" s="90">
        <v>3</v>
      </c>
      <c r="CZ47" s="91">
        <v>2</v>
      </c>
      <c r="DA47" s="90">
        <v>1</v>
      </c>
      <c r="DB47" s="91">
        <v>3</v>
      </c>
      <c r="DC47" s="90">
        <v>4</v>
      </c>
      <c r="DD47" s="91">
        <v>2</v>
      </c>
      <c r="DE47" s="90">
        <v>2</v>
      </c>
      <c r="DF47" s="91">
        <v>0</v>
      </c>
      <c r="DG47" s="90">
        <v>3</v>
      </c>
      <c r="DH47" s="91">
        <v>2</v>
      </c>
      <c r="DI47" s="90">
        <v>3</v>
      </c>
      <c r="DJ47" s="91">
        <v>1</v>
      </c>
      <c r="DK47" s="90">
        <v>2</v>
      </c>
      <c r="DL47" s="91">
        <v>0</v>
      </c>
      <c r="DM47" s="48"/>
      <c r="DN47" s="29"/>
      <c r="DO47" s="30"/>
      <c r="DP47" s="90">
        <v>5</v>
      </c>
      <c r="DQ47" s="91">
        <v>6</v>
      </c>
      <c r="DR47" s="90">
        <v>2</v>
      </c>
      <c r="DS47" s="91">
        <v>1</v>
      </c>
      <c r="DT47" s="90">
        <v>3</v>
      </c>
      <c r="DU47" s="91">
        <v>0</v>
      </c>
      <c r="DV47" s="90">
        <v>3</v>
      </c>
      <c r="DW47" s="91">
        <v>1</v>
      </c>
      <c r="DX47" s="27"/>
      <c r="DY47" s="25"/>
      <c r="DZ47" s="26"/>
      <c r="EA47" s="90">
        <v>2</v>
      </c>
      <c r="EB47" s="91">
        <v>1</v>
      </c>
      <c r="EC47" s="90">
        <v>2</v>
      </c>
      <c r="ED47" s="91">
        <v>3</v>
      </c>
      <c r="EE47" s="21"/>
      <c r="EF47" s="22"/>
      <c r="EG47" s="23"/>
      <c r="EH47" s="90">
        <v>2</v>
      </c>
      <c r="EI47" s="91">
        <v>3</v>
      </c>
      <c r="EJ47" s="21"/>
      <c r="EK47" s="22"/>
      <c r="EL47" s="23"/>
      <c r="EM47" s="90">
        <v>2</v>
      </c>
      <c r="EN47" s="91">
        <v>3</v>
      </c>
      <c r="EO47" s="153"/>
      <c r="EP47" s="21"/>
      <c r="EQ47" s="22"/>
      <c r="ER47" s="23"/>
    </row>
    <row r="48" spans="1:148" s="151" customFormat="1" ht="16.5" thickBot="1" x14ac:dyDescent="0.35">
      <c r="A48" s="42"/>
      <c r="B48" s="156">
        <f>IF($B$3="","",IF($B$3=B47,2,0)+IF($C$3=C47,2,0)+IF(OR(AND($B$3&gt;$C$3,B47 &gt; C47),AND($B$3 &lt; $C$3,B47&lt;C47),AND($B$3 = $C$3,B47 = C47)),5,0))</f>
        <v>5</v>
      </c>
      <c r="C48" s="161"/>
      <c r="D48" s="157">
        <f>IF($D$3="","",IF($D$3=D47,2,0)+IF($E$3=E47,2,0)+IF(OR(AND($D$3&gt;$E$3,D47 &gt; E47),AND($D$3 &lt; $E$3,D47&lt;E47),AND($D$3 = $E$3,D47 = E47)),5,0))</f>
        <v>5</v>
      </c>
      <c r="E48" s="157"/>
      <c r="F48" s="157" t="str">
        <f>IF($F$3="","",IF($F$3=F47,2,0)+IF($G$3=G47,2,0)+IF(OR(AND($F$3&gt;$G$3,F47 &gt; G47),AND($F$3 &lt; $G$3,F47&lt;G47),AND($F$3 = $G$3,F47 = G47)),5,0))</f>
        <v/>
      </c>
      <c r="G48" s="157"/>
      <c r="H48" s="157" t="str">
        <f>IF($H$3="","",IF($H$3=H47,2,0)+IF($I$3=I47,2,0)+IF(OR(AND($H$3&gt;$I$3,H47 &gt; I47),AND($H$3 &lt; $I$3,H47&lt;I47),AND($H$3 = $I$3,H47 = I47)),5,0))</f>
        <v/>
      </c>
      <c r="I48" s="157"/>
      <c r="J48" s="157" t="str">
        <f>IF($J$3="","",IF($J$3=J47,2,0)+IF($K$3=K47,2,0)+IF(OR(AND($J$3&gt;$K$3,J47 &gt; K47),AND($J$3 &lt; $K$3,J47&lt;K47),AND($J$3 = $K$3,J47 = K47)),5,0))</f>
        <v/>
      </c>
      <c r="K48" s="157"/>
      <c r="L48" s="157" t="str">
        <f>IF($L$3="","",IF($L$3=L47,2,0)+IF($M$3=M47,2,0)+IF(OR(AND($L$3&gt;$M$3,L47 &gt; M47),AND($L$3 &lt; $M$3,L47&lt;M47),AND($L$3 = $M$3,L47 = M47)),5,0))</f>
        <v/>
      </c>
      <c r="M48" s="157"/>
      <c r="N48" s="157" t="str">
        <f>IF($N$3="","",IF($N$3=N47,2,0)+IF($O$3=O47,2,0)+IF(OR(AND($N$3&gt;$O$3,N47 &gt; O47),AND($N$3 &lt; $O$3,N47&lt;O47),AND($N$3 = $O$3,N47 = O47)),5,0))</f>
        <v/>
      </c>
      <c r="O48" s="157"/>
      <c r="P48" s="157" t="str">
        <f>IF($P$3="","",IF($P$3=P47,2,0)+IF($Q$3=Q47,2,0)+IF(OR(AND($P$3&gt;$Q$3,P47 &gt; Q47),AND($P$3 &lt; $Q$3,P47&lt;Q47),AND($P$3 = $Q$3,P47 = Q47)),5,0))</f>
        <v/>
      </c>
      <c r="Q48" s="157"/>
      <c r="R48" s="157" t="str">
        <f>IF($R$3="","",IF($R$3=R47,2,0)+IF($S$3=S47,2,0)+IF(OR(AND($R$3&gt;$S$3,R47 &gt; S47),AND($R$3 &lt; $S$3,R47&lt;S47),AND($R$3 = $S$3,R47 = S47)),5,0))</f>
        <v/>
      </c>
      <c r="S48" s="157"/>
      <c r="T48" s="157" t="str">
        <f>IF($T$3="","",IF($T$3=T47,2,0)+IF($U$3=U47,2,0)+IF(OR(AND($T$3&gt;$U$3,T47 &gt; U47),AND($T$3 &lt; $U$3,T47&lt;U47),AND($T$3 = $U$3,T47 = U47)),5,0))</f>
        <v/>
      </c>
      <c r="U48" s="157"/>
      <c r="V48" s="157" t="str">
        <f>IF($V$3="","",IF($V$3=V47,2,0)+IF($W$3=W47,2,0)+IF(OR(AND($V$3&gt;$W$3,V47 &gt; W47),AND($V$3 &lt; $W$3,V47&lt;W47),AND($V$3 = $W$3,V47 = W47)),5,0))</f>
        <v/>
      </c>
      <c r="W48" s="157"/>
      <c r="X48" s="157" t="str">
        <f>IF($X$3="","",IF($X$3=X47,2,0)+IF($Y$3=Y47,2,0)+IF(OR(AND($X$3&gt;$Y$3,X47 &gt; Y47),AND($X$3 &lt; $Y$3,X47&lt;Y47),AND($X$3 = $Y$3,X47 = Y47)),5,0))</f>
        <v/>
      </c>
      <c r="Y48" s="157"/>
      <c r="Z48" s="157" t="str">
        <f>IF($Z$3="","",IF($Z$3=Z47,2,0)+IF($AA$3=AA47,2,0)+IF(OR(AND($Z$3&gt;$AA$3,Z47 &gt; AA47),AND($Z$3 &lt; $AA$3,Z47&lt;AA47),AND($Z$3 = $AA$3,Z47 = AA47)),5,0))</f>
        <v/>
      </c>
      <c r="AA48" s="157"/>
      <c r="AB48" s="157" t="str">
        <f>IF($AB$3="","",IF($AB$3=AB47,2,0)+IF($AC$3=AC47,2,0)+IF(OR(AND($AB$3&gt;$AC$3,AB47 &gt; AC47),AND($AB$3 &lt; $AC$3,AB47&lt;AC47),AND($AB$3 = $AC$3,AB47 = AC47)),5,0))</f>
        <v/>
      </c>
      <c r="AC48" s="157"/>
      <c r="AD48" s="157" t="str">
        <f>IF($AD$3="","",IF($AD$3=AD47,2,0)+IF($AE$3=AE47,2,0)+IF(OR(AND($AD$3&gt;$AE$3,AD47 &gt; AE47),AND($AD$3 &lt; $AE$3,AD47&lt;AE47),AND($AD$3 = $AE$3,AD47 = AE47)),5,0))</f>
        <v/>
      </c>
      <c r="AE48" s="157"/>
      <c r="AF48" s="157" t="str">
        <f>IF($AF$3="","",IF($AF$3=AF47,2,0)+IF($AG$3=AG47,2,0)+IF(OR(AND($AF$3&gt;$AG$3,AF47 &gt; AG47),AND($AF$3 &lt; $AG$3,AF47&lt;AG47),AND($AF$3 = $AG$3,AF47 = AG47)),5,0))</f>
        <v/>
      </c>
      <c r="AG48" s="158"/>
      <c r="AH48" s="160" t="str">
        <f>IF($AH$3="","",IF($AH$3=AH47,2,0)+IF($AI$3=AI47,2,0)+IF(OR(AND($AH$3&gt;$AI$3,AH47 &gt; AI47),AND($AH$3 &lt; $AI$3,AH47&lt;AI47),AND($AH$3 = $AI$3,AH47 = AI47)),5,0))</f>
        <v/>
      </c>
      <c r="AI48" s="157"/>
      <c r="AJ48" s="157" t="str">
        <f>IF($AJ$3="","",IF($AJ$3=AJ47,2,0)+IF($AK$3=AK47,2,0)+IF(OR(AND($AJ$3&gt;$AK$3,AJ47 &gt; AK47),AND($AJ$3 &lt; $AK$3,AJ47&lt;AK47),AND($AJ$3 = $AK$3,AJ47 = AK47)),5,0))</f>
        <v/>
      </c>
      <c r="AK48" s="157"/>
      <c r="AL48" s="157" t="str">
        <f>IF($AL$3="","",IF($AL$3=AL47,2,0)+IF($AM$3=AM47,2,0)+IF(OR(AND($AL$3&gt;$AM$3,AL47 &gt; AM47),AND($AL$3 &lt; $AM$3,AL47&lt;AM47),AND($AL$3 = $AM$3,AL47 = AM47)),5,0))</f>
        <v/>
      </c>
      <c r="AM48" s="157"/>
      <c r="AN48" s="157" t="str">
        <f>IF($AN$3="","",IF($AN$3=AN47,2,0)+IF($AO$3=AO47,2,0)+IF(OR(AND($AN$3&gt;$AO$3,AN47 &gt; AO47),AND($AN$3 &lt; $AO$3,AN47&lt;AO47),AND($AN$3 = $AO$3,AN47 = AO47)),5,0))</f>
        <v/>
      </c>
      <c r="AO48" s="157"/>
      <c r="AP48" s="157" t="str">
        <f>IF($AP$3="","",IF($AP$3=AP47,2,0)+IF($AQ$3=AQ47,2,0)+IF(OR(AND($AP$3&gt;$AQ$3,AP47 &gt; AQ47),AND($AP$3 &lt; $AQ$3,AP47&lt;AQ47),AND($AP$3 = $AQ$3,AP47 = AQ47)),5,0))</f>
        <v/>
      </c>
      <c r="AQ48" s="157"/>
      <c r="AR48" s="157" t="str">
        <f>IF($AR$3="","",IF($AR$3=AR47,2,0)+IF($AS$3=AS47,2,0)+IF(OR(AND($AR$3&gt;$AS$3,AR47 &gt; AS47),AND($AR$3 &lt; $AS$3,AR47&lt;AS47),AND($AR$3 = $AS$3,AR47 = AS47)),5,0))</f>
        <v/>
      </c>
      <c r="AS48" s="157"/>
      <c r="AT48" s="157" t="str">
        <f>IF($AT$3="","",IF($AT$3=AT47,2,0)+IF($AU$3=AU47,2,0)+IF(OR(AND($AT$3&gt;$AU$3,AT47 &gt; AU47),AND($AT$3 &lt; $AU$3,AT47&lt;AU47),AND($AT$3 = $AU$3,AT47 = AU47)),5,0))</f>
        <v/>
      </c>
      <c r="AU48" s="157"/>
      <c r="AV48" s="157" t="str">
        <f>IF($AV$3="","",IF($AV$3=AV47,2,0)+IF($AW$3=AW47,2,0)+IF(OR(AND($AV$3&gt;$AW$3,AV47 &gt; AW47),AND($AV$3 &lt; $AW$3,AV47&lt;AW47),AND($AV$3 = $AW$3,AV47 = AW47)),5,0))</f>
        <v/>
      </c>
      <c r="AW48" s="157"/>
      <c r="AX48" s="157" t="str">
        <f>IF($AX$3="","",IF($AX$3=AX47,2,0)+IF($AY$3=AY47,2,0)+IF(OR(AND($AX$3&gt;$AY$3,AX47 &gt; AY47),AND($AX$3 &lt; $AY$3,AX47&lt;AY47),AND($AX$3 = $AY$3,AX47 = AY47)),5,0))</f>
        <v/>
      </c>
      <c r="AY48" s="157"/>
      <c r="AZ48" s="157" t="str">
        <f>IF($AZ$3="","",IF($AZ$3=AZ47,2,0)+IF($BA$3=BA47,2,0)+IF(OR(AND($AZ$3&gt;$BA$3,AZ47 &gt; BA47),AND($AZ$3 &lt; $BA$3,AZ47&lt;BA47),AND($AZ$3 = $BA$3,AZ47 = BA47)),5,0))</f>
        <v/>
      </c>
      <c r="BA48" s="157"/>
      <c r="BB48" s="157" t="str">
        <f>IF($BB$3="","",IF($BB$3=BB47,2,0)+IF($BC$3=BC47,2,0)+IF(OR(AND($BB$3&gt;$BC$3,BB47 &gt; BC47),AND($BB$3 &lt; $BC$3,BB47&lt;BC47),AND($BB$3 = $BC$3,BB47 = BC47)),5,0))</f>
        <v/>
      </c>
      <c r="BC48" s="157"/>
      <c r="BD48" s="157" t="str">
        <f>IF($BD$3="","",IF($BD$3=BD47,2,0)+IF($BE$3=BE47,2,0)+IF(OR(AND($BD$3&gt;$BE$3,BD47 &gt; BE47),AND($BD$3 &lt; $BE$3,BD47&lt;BE47),AND($BD$3 = $BE$3,BD47 = BE47)),5,0))</f>
        <v/>
      </c>
      <c r="BE48" s="157"/>
      <c r="BF48" s="157" t="str">
        <f>IF($BF$3="","",IF($BF$3=BF47,2,0)+IF($BG$3=BG47,2,0)+IF(OR(AND($BF$3&gt;$BG$3,BF47 &gt; BG47),AND($BF$3 &lt; $BG$3,BF47&lt;BG47),AND($BF$3 = $BG$3,BF47 = BG47)),5,0))</f>
        <v/>
      </c>
      <c r="BG48" s="157"/>
      <c r="BH48" s="157" t="str">
        <f>IF($BH$3="","",IF($BH$3=BH47,2,0)+IF($BI$3=BI47,2,0)+IF(OR(AND($BH$3&gt;$BI$3,BH47 &gt; BI47),AND($BH$3 &lt; $BI$3,BH47&lt;BI47),AND($BH$3 = $BI$3,BH47 = BI47)),5,0))</f>
        <v/>
      </c>
      <c r="BI48" s="157"/>
      <c r="BJ48" s="157" t="str">
        <f>IF($BJ$3="","",IF($BJ$3=BJ47,2,0)+IF($BK$3=BK47,2,0)+IF(OR(AND($BJ$3&gt;$BK$3,BJ47 &gt; BK47),AND($BJ$3 &lt; $BK$3,BJ47&lt;BK47),AND($BJ$3 = $BK$3,BJ47 = BK47)),5,0))</f>
        <v/>
      </c>
      <c r="BK48" s="157"/>
      <c r="BL48" s="157" t="str">
        <f>IF($BL$3="","",IF($BL$3=BL47,2,0)+IF($BM$3=BM47,2,0)+IF(OR(AND($BL$3&gt;$BM$3,BL47 &gt; BM47),AND($BL$3 &lt; $BM$3,BL47&lt;BM47),AND($BL$3 = $BM$3,BL47 = BM47)),5,0))</f>
        <v/>
      </c>
      <c r="BM48" s="154"/>
      <c r="BN48" s="156" t="str">
        <f>IF($BN$3="","",IF($BN$3=BN47,2,0)+IF($BO$3=BO47,2,0)+IF(OR(AND($BN$3&gt;$BO$3,BN47 &gt; BO47),AND($BN$3 &lt; $BO$3,BN47&lt;BO47),AND($BN$3 = $BO$3,BN47 = BO47)),5,0))</f>
        <v/>
      </c>
      <c r="BO48" s="157"/>
      <c r="BP48" s="157" t="str">
        <f>IF($BP$3="","",IF($BP$3=BP47,2,0)+IF($BQ$3=BQ47,2,0)+IF(OR(AND($BP$3&gt;$BQ$3,BP47 &gt; BQ47),AND($BP$3 &lt; $BQ$3,BP47&lt;BQ47),AND($BP$3 = $BQ$3,BP47 = BQ47)),5,0))</f>
        <v/>
      </c>
      <c r="BQ48" s="157"/>
      <c r="BR48" s="157" t="str">
        <f>IF($BR$3="","",IF($BR$3=BR47,2,0)+IF($BS$3=BS47,2,0)+IF(OR(AND($BR$3&gt;$BS$3,BR47 &gt; BS47),AND($BR$3 &lt; $BS$3,BR47&lt;BS47),AND($BR$3 = $BS$3,BR47 = BS47)),5,0))</f>
        <v/>
      </c>
      <c r="BS48" s="157"/>
      <c r="BT48" s="157" t="str">
        <f>IF($BT$3="","",IF($BT$3=BT47,2,0)+IF($BU$3=BU47,2,0)+IF(OR(AND($BT$3&gt;$BU$3,BT47 &gt; BU47),AND($BT$3 &lt; $BU$3,BT47&lt;BU47),AND($BT$3 = $BU$3,BT47 = BU47)),5,0))</f>
        <v/>
      </c>
      <c r="BU48" s="157"/>
      <c r="BV48" s="157" t="str">
        <f>IF($BV$3="","",IF($BV$3=BV47,2,0)+IF($BW$3=BW47,2,0)+IF(OR(AND($BV$3&gt;$BW$3,BV47 &gt; BW47),AND($BV$3 &lt; $BW$3,BV47&lt;BW47),AND($BV$3 = $BW$3,BV47 = BW47)),5,0))</f>
        <v/>
      </c>
      <c r="BW48" s="157"/>
      <c r="BX48" s="157" t="str">
        <f>IF($BX$3="","",IF($BX$3=BX47,2,0)+IF($BY$3=BY47,2,0)+IF(OR(AND($BX$3&gt;$BY$3,BX47 &gt; BY47),AND($BX$3 &lt; $BY$3,BX47&lt;BY47),AND($BX$3 = $BY$3,BX47 = BY47)),5,0))</f>
        <v/>
      </c>
      <c r="BY48" s="157"/>
      <c r="BZ48" s="157" t="str">
        <f>IF($BZ$3="","",IF($BZ$3=BZ47,2,0)+IF($CA$3=CA47,2,0)+IF(OR(AND($BZ$3&gt;$CA$3,BZ47 &gt; CA47),AND($BZ$3 &lt; $CA$3,BZ47&lt;CA47),AND($BZ$3 = $CA$3,BZ47 = CA47)),5,0))</f>
        <v/>
      </c>
      <c r="CA48" s="157"/>
      <c r="CB48" s="157" t="str">
        <f>IF($CB$3="","",IF($CB$3=CB47,2,0)+IF($CC$3=CC47,2,0)+IF(OR(AND($CB$3&gt;$CC$3,CB47 &gt; CC47),AND($CB$3 &lt; $CC$3,CB47&lt;CC47),AND($CB$3 = $CC$3,CB47 = CC47)),5,0))</f>
        <v/>
      </c>
      <c r="CC48" s="157"/>
      <c r="CD48" s="157" t="str">
        <f>IF($CD$3="","",IF($CD$3=CD47,2,0)+IF($CE$3=CE47,2,0)+IF(OR(AND($CD$3&gt;$CE$3,CD47 &gt; CE47),AND($CD$3 &lt; $CE$3,CD47&lt;$CE$5),AND($CD$3 = $CE$3,CD47 = CE47)),5,0))</f>
        <v/>
      </c>
      <c r="CE48" s="157"/>
      <c r="CF48" s="157" t="str">
        <f>IF($CF$3="","",IF($CF$3=CF47,2,0)+IF($CG$3=CG47,2,0)+IF(OR(AND($CF$3&gt;$CG$3,CF47 &gt; CG47),AND($CF$3 &lt; $CG$3,CF47&lt;CG47),AND($CF$3 = $CG$3,CF47 = CG47)),5,0))</f>
        <v/>
      </c>
      <c r="CG48" s="157"/>
      <c r="CH48" s="157" t="str">
        <f>IF($CH$3="","",IF($CH$3=CH47,2,0)+IF($CI$3=CI47,2,0)+IF(OR(AND($CH$3&gt;$CI$3,CH47 &gt; CI47),AND($CH$3 &lt; $CI$3,CH47&lt;CI47),AND($CH$3 = $CI$3,CH47 = CI47)),5,0))</f>
        <v/>
      </c>
      <c r="CI48" s="157"/>
      <c r="CJ48" s="157" t="str">
        <f>IF($CJ$3="","",IF($CJ$3=CJ47,2,0)+IF($CK$3=CK47,2,0)+IF(OR(AND($CJ$3&gt;$CK$3,CJ47 &gt; CK47),AND($CJ$3 &lt; $CK$3,CJ47&lt;CK47),AND($CJ$3 = $CK$3,CJ47 = CK47)),5,0))</f>
        <v/>
      </c>
      <c r="CK48" s="157"/>
      <c r="CL48" s="157" t="str">
        <f>IF($CL$3="","",IF($CL$3=CL47,2,0)+IF($CM$3=CM47,2,0)+IF(OR(AND($CL$3&gt;$CM$3,CL47 &gt; CM47),AND($CL$3 &lt; $CM$3,CL47&lt;CM47),AND($CL$3 = $CM$3,CL47 = CM47)),5,0))</f>
        <v/>
      </c>
      <c r="CM48" s="157"/>
      <c r="CN48" s="157" t="str">
        <f>IF($CN$3="","",IF($CN$3=CN47,2,0)+IF($CO$3=CO47,2,0)+IF(OR(AND($CN$3&gt;$CO$3,CN47 &gt; CO47),AND($CN$3 &lt; $CO$3,CN47&lt;CO47),AND($CN$3 = $CO$3,CN47 = CO47)),5,0))</f>
        <v/>
      </c>
      <c r="CO48" s="157"/>
      <c r="CP48" s="157" t="str">
        <f>IF($CP$3="","",IF($CP$3=CP47,2,0)+IF($CQ$3=CQ47,2,0)+IF(OR(AND($CP$3&gt;$CQ$3,CP47 &gt; CQ47),AND($CP$3 &lt; $CQ$3,CP47&lt;CQ47),AND($CP$3 = $CQ$3,CP47 = CQ47)),5,0))</f>
        <v/>
      </c>
      <c r="CQ48" s="157"/>
      <c r="CR48" s="157" t="str">
        <f>IF($CR$3="","",IF($CR$3=CR47,2,0)+IF($CS$3=CS47,2,0)+IF(OR(AND($CR$3&gt;$CS$3,CR47 &gt; CS47),AND($CR$3 &lt; $CS$3,CR47&lt;CS47),AND($CR$3 = $CS$3,CR47 = CS47)),5,0))</f>
        <v/>
      </c>
      <c r="CS48" s="154"/>
      <c r="CT48" s="24">
        <f>SUM(B48:CS48)</f>
        <v>10</v>
      </c>
      <c r="CU48" s="12">
        <f>IF(AND(CW46=$CW$2,CW46&lt;&gt;""),2,0)+IF(AND(CX46=$CX$2,CX46&lt;&gt;""),2,0)+IF(AND(CY46=$CY$2,CY46&lt;&gt;""),2,0)+IF(AND(CZ46=$CZ$2,CZ46&lt;&gt;""),2,0)+IF(AND(DA46=$DA$2,DA46&lt;&gt;""),2,0)+IF(AND(DB46=$DB$2,DB46&lt;&gt;""),2,0)+IF(AND(DC46=$DC$2,DC46&lt;&gt;""),2,0)+IF(AND(DD46=$DD$2,DD46&lt;&gt;""),2,0)+IF(AND(DE46=$DE$2,DE46&lt;&gt;""),2,0)+IF(AND(DF46=$DF$2,DF46&lt;&gt;""),2,0)+IF(AND(DG46=$DG$2,DG46&lt;&gt;""),2,0)+IF(AND(DH46=$DH$2,DH46&lt;&gt;""),2,0)+IF(AND(DI46=$DI$2,DI46&lt;&gt;""),2,0)+IF(AND(DJ46=$DJ$2,DJ46&lt;&gt;""),2,0)+IF(AND(DK46=$DK$2,DK46&lt;&gt;""),2,0)+IF(AND(DL46=$DL$2,DL46&lt;&gt;""),2,0)</f>
        <v>0</v>
      </c>
      <c r="CV48" s="11">
        <f>CT48+CU48</f>
        <v>10</v>
      </c>
      <c r="CW48" s="156" t="str">
        <f>IF($CW$3="","",IF($CW$3=CW47,2,0)+IF($CX$3=CX47,2,0)+IF(OR(AND($CW$3&gt;$CX$3,CW47 &gt; CX47),AND($CW$3 &lt; $CX$3,CW47&lt;CX47),AND($CW$3 = $CX$3,CW47 = CX47)),5,0))</f>
        <v/>
      </c>
      <c r="CX48" s="157"/>
      <c r="CY48" s="157" t="str">
        <f>IF($CY$3="","",IF($CY$3=CY47,2,0)+IF($CZ$3=CZ47,2,0)+IF(OR(AND($CY$3&gt;$CZ$3,CY47 &gt; CZ47),AND($CY$3 &lt; $CZ$3,CY47&lt;CZ47),AND($CY$3 = $CZ$3,CY47 = CZ47)),5,0))</f>
        <v/>
      </c>
      <c r="CZ48" s="157"/>
      <c r="DA48" s="157" t="str">
        <f>IF($DA45="","",IF($DA$3=DA47,2,0)+IF($DB$3=DB47,2,0)+IF(OR(AND($DA$3&gt;$DB$3,DA47 &gt; DB47),AND($DA$3 &lt; $DB$3,DA47&lt;DB47),AND($DA$3 = $DB$3,DA47 = DB47)),5,0))</f>
        <v/>
      </c>
      <c r="DB48" s="157"/>
      <c r="DC48" s="157" t="str">
        <f>IF($DC$3="","",IF($DC$3=DC47,2,0)+IF($DD$3=DD47,2,0)+IF(OR(AND($DC$3&gt;$DD$3,DC47 &gt; DD47),AND($DC$3 &lt; $DD$3,DC47&lt;DD47),AND($DC$3 = $DD$3,DC47 = DD47)),5,0))</f>
        <v/>
      </c>
      <c r="DD48" s="157"/>
      <c r="DE48" s="157" t="str">
        <f>IF($DE$3="","",IF($DE$3=DE47,2,0)+IF($DF$3=DF47,2,0)+IF(OR(AND($DE$3&gt;$DF$3,DE47 &gt; DF47),AND($DE$3 &lt; $DF$3,DE47&lt;DF47),AND($DE$3 = $DF$3,DE47 = DF47)),5,0))</f>
        <v/>
      </c>
      <c r="DF48" s="157"/>
      <c r="DG48" s="157" t="str">
        <f>IF($DG$3="","",IF($DG$3=DG47,2,0)+IF($DH$3=DH47,2,0)+IF(OR(AND($DG$3&gt;$DH$3,DG47 &gt; DH47),AND($DG$3 &lt; $DH$3,DG47&lt;DH47),AND($DG$3 = $DH$3,DG47 = DH47)),5,0))</f>
        <v/>
      </c>
      <c r="DH48" s="157"/>
      <c r="DI48" s="157" t="str">
        <f>IF($DI$3="","",IF($DI$3=DI47,2,0)+IF($DJ$3=DJ47,2,0)+IF(OR(AND($DI$3&gt;$DJ$3,DI47 &gt; DJ47),AND($DI$3 &lt; $DJ$3,DI47&lt;DJ47),AND($DI$3 = $DJ$3,DI47 = DJ47)),5,0))</f>
        <v/>
      </c>
      <c r="DJ48" s="157"/>
      <c r="DK48" s="157" t="str">
        <f>IF($DK$3="","",IF($DK$3=DK47,2,0)+IF($DL$3=DL47,2,0)+IF(OR(AND($DK$3&gt;$DL$3,DK47 &gt; DL47),AND($DK$3 &lt; $DL$3,DK47&lt;DL47),AND($DK$3 = $DL$3,DK47 = DL47)),5,0))</f>
        <v/>
      </c>
      <c r="DL48" s="154"/>
      <c r="DM48" s="24">
        <f>SUM(CW48:DL48)</f>
        <v>0</v>
      </c>
      <c r="DN48" s="12">
        <f>IF(AND(DP46=$DP$2,DP46&lt;&gt;""),2,0)+IF(AND(DQ46=$DQ$2,DQ46&lt;&gt;""),2,0)+IF(AND(DR46=$DR$2,DR46&lt;&gt;""),2,0)+IF(AND(DS46=$DS$2,DS46&lt;&gt;""),2,0)+IF(AND(DT46=$DT$2,DT46&lt;&gt;""),2,0)+IF(AND(DU46=$DU$2,DU46&lt;&gt;""),2,0)+IF(AND(DV46=$DV$2,DV46&lt;&gt;""),2,0)+IF(AND(DW46=$DW$2,DW46&lt;&gt;""),2,0)</f>
        <v>0</v>
      </c>
      <c r="DO48" s="11">
        <f>CV48+DM48+DN48</f>
        <v>10</v>
      </c>
      <c r="DP48" s="159" t="str">
        <f>IF($DP$3="","",IF($DP$3=DP47,2,0)+IF($DQ$3=DQ47,2,0)+IF(OR(AND($DP$3&gt;$DQ$3,DP47 &gt; DQ47),AND($DP$3 &lt; $DQ$3,DP47&lt;DQ47),AND($DP$3 = $DQ$3,DP47 = DQ47)),5,0))</f>
        <v/>
      </c>
      <c r="DQ48" s="160"/>
      <c r="DR48" s="154" t="str">
        <f>IF($DR$3="","",IF($DR$3=DR47,2,0)+IF($DS$3=DS47,2,0)+IF(OR(AND($DR$3&gt;$DS$3,DR47 &gt; DS47),AND($DR$3 &lt; $DS$3,DR47&lt;DS47),AND($DR$3 = $DS$3,DR47 = DS47)),5,0))</f>
        <v/>
      </c>
      <c r="DS48" s="160"/>
      <c r="DT48" s="154" t="str">
        <f>IF($DT$3="","",IF($DT$3=DT47,2,0)+IF($DU$3=DU47,2,0)+IF(OR(AND($DT$3&gt;$DU$3,DT47 &gt; DU47),AND($DT$3 &lt; $DU$3,DT47&lt;DU47),AND($DT$3 = $DU$3,DT47 = DU47)),5,0))</f>
        <v/>
      </c>
      <c r="DU48" s="160"/>
      <c r="DV48" s="154" t="str">
        <f>IF($DV$3="","",IF($DV45=DV47,2,0)+IF($DW$3=DW47,2,0)+IF(OR(AND($DV$3&gt;$DW$3,DV47 &gt; DW47),AND($DV$3 &lt; $DW$3,DV47&lt;DW47),AND($DV$3 = $DW$3,DV47 = DW47)),5,0))</f>
        <v/>
      </c>
      <c r="DW48" s="155"/>
      <c r="DX48" s="24">
        <f>SUM(DP48:DW48)</f>
        <v>0</v>
      </c>
      <c r="DY48" s="12">
        <f>IF(AND(EA46=$EA$2,EA46&lt;&gt;""),3,0)+IF(AND(EB46=$EB$2,EB46&lt;&gt;""),3,0)+IF(AND(EC46=$EC$2,EC46&lt;&gt;""),3,0)+IF(AND(ED46=$ED$2,ED46&lt;&gt;""),3,0)</f>
        <v>0</v>
      </c>
      <c r="DZ48" s="11">
        <f>DO48+DX48+DY48</f>
        <v>10</v>
      </c>
      <c r="EA48" s="156" t="str">
        <f>IF($EA$3="","",IF($EA$3=EA47,2,0)+IF($EB$3=EB47,2,0)+IF(OR(AND($EA$3&gt;$EB$3,EA47 &gt; EB47),AND($EA$3 &lt; $EB$3,EA47&lt;EB47),AND($EA$3 = $EB$3,EA47 = EB47)),5,0))</f>
        <v/>
      </c>
      <c r="EB48" s="157"/>
      <c r="EC48" s="157" t="str">
        <f>IF($EC$3="","",IF($EC$3=EC47,2,0)+IF($ED$3=ED47,2,0)+IF(OR(AND($EC$3&gt;$ED$3,EC47 &gt; ED47),AND($EC$3 &lt; $ED$3,EC47&lt;ED47),AND($EC$3 = $ED$3,EC47 = ED47)),5,0))</f>
        <v/>
      </c>
      <c r="ED48" s="154"/>
      <c r="EE48" s="24">
        <f>SUM(EA48:ED48)</f>
        <v>0</v>
      </c>
      <c r="EF48" s="12">
        <f>IF(AND(EH46=$EH$2,EH46&lt;&gt;""),3,0)+IF(AND(EI46=$EI$2,EI46&lt;&gt;""),3,0)</f>
        <v>0</v>
      </c>
      <c r="EG48" s="11">
        <f>DZ48+EE48+EF48</f>
        <v>10</v>
      </c>
      <c r="EH48" s="156" t="str">
        <f>IF($EH$3="","",IF($EH$3=EH47,2,0)+IF($EI$3=EI47,2,0)+IF(OR(AND($EH$3&gt;$EI$3,EH47 &gt; EI47),AND($EH$3 &lt; $EI$3,EH47&lt;EI47),AND($EH$3 = $EI$3,EH47 = EI47)),5,0))</f>
        <v/>
      </c>
      <c r="EI48" s="154"/>
      <c r="EJ48" s="24">
        <f>SUM(EH48:EI48)</f>
        <v>0</v>
      </c>
      <c r="EK48" s="12">
        <f>IF(AND(EM46=$EM$2,EM46&lt;&gt;""),5,0)+IF(AND(EN46=$EN$2,EN46&lt;&gt;""),5,0)</f>
        <v>0</v>
      </c>
      <c r="EL48" s="11">
        <f>EG48+EJ48+EK48</f>
        <v>10</v>
      </c>
      <c r="EM48" s="156" t="str">
        <f>IF($EM$3="","",IF($EM$3=EM47,2,0)+IF($EN$3=EN47,2,0)+IF(OR(AND($EM$3&gt;$EN$3,EM47 &gt; EN47),AND($EM$3 &lt; $EN$3,EM47&lt;EN47),AND($EM$3 = $EN$3,EM47 = EN47)),5,0))</f>
        <v/>
      </c>
      <c r="EN48" s="158"/>
      <c r="EO48" s="152"/>
      <c r="EP48" s="8" t="str">
        <f>EM48</f>
        <v/>
      </c>
      <c r="EQ48" s="20">
        <f>IF(AND(EO46=$EO$2,EO46&lt;&gt;""),10,0)</f>
        <v>0</v>
      </c>
      <c r="ER48" s="11" t="e">
        <f>EL48+EP48+EQ48</f>
        <v>#VALUE!</v>
      </c>
    </row>
    <row r="49" s="151" customFormat="1" x14ac:dyDescent="0.25"/>
    <row r="50" s="151" customFormat="1" x14ac:dyDescent="0.25"/>
  </sheetData>
  <sheetProtection selectLockedCells="1"/>
  <mergeCells count="970">
    <mergeCell ref="DR12:DS12"/>
    <mergeCell ref="DT12:DU12"/>
    <mergeCell ref="DV12:DW12"/>
    <mergeCell ref="EA12:EB12"/>
    <mergeCell ref="EC12:ED12"/>
    <mergeCell ref="EH12:EI12"/>
    <mergeCell ref="EM12:EN12"/>
    <mergeCell ref="EP1:ER1"/>
    <mergeCell ref="DP9:DQ9"/>
    <mergeCell ref="DR9:DS9"/>
    <mergeCell ref="DT9:DU9"/>
    <mergeCell ref="DV9:DW9"/>
    <mergeCell ref="EA9:EB9"/>
    <mergeCell ref="EC9:ED9"/>
    <mergeCell ref="EH9:EI9"/>
    <mergeCell ref="EM9:EN9"/>
    <mergeCell ref="DR6:DS6"/>
    <mergeCell ref="DT6:DU6"/>
    <mergeCell ref="DV6:DW6"/>
    <mergeCell ref="EA6:EB6"/>
    <mergeCell ref="EC6:ED6"/>
    <mergeCell ref="EH6:EI6"/>
    <mergeCell ref="EM6:EN6"/>
    <mergeCell ref="DX1:DZ1"/>
    <mergeCell ref="EE1:EG1"/>
    <mergeCell ref="EJ1:EL1"/>
    <mergeCell ref="CW12:CX12"/>
    <mergeCell ref="CY12:CZ12"/>
    <mergeCell ref="DA12:DB12"/>
    <mergeCell ref="DC12:DD12"/>
    <mergeCell ref="DE12:DF12"/>
    <mergeCell ref="DG12:DH12"/>
    <mergeCell ref="DI12:DJ12"/>
    <mergeCell ref="DK12:DL12"/>
    <mergeCell ref="DP6:DQ6"/>
    <mergeCell ref="DP12:DQ12"/>
    <mergeCell ref="CW6:CX6"/>
    <mergeCell ref="CY6:CZ6"/>
    <mergeCell ref="DA6:DB6"/>
    <mergeCell ref="DC6:DD6"/>
    <mergeCell ref="DE6:DF6"/>
    <mergeCell ref="DG6:DH6"/>
    <mergeCell ref="DI6:DJ6"/>
    <mergeCell ref="DK6:DL6"/>
    <mergeCell ref="CW9:CX9"/>
    <mergeCell ref="CY9:CZ9"/>
    <mergeCell ref="DA9:DB9"/>
    <mergeCell ref="DC9:DD9"/>
    <mergeCell ref="DE9:DF9"/>
    <mergeCell ref="DG9:DH9"/>
    <mergeCell ref="DI9:DJ9"/>
    <mergeCell ref="DK9:DL9"/>
    <mergeCell ref="EM1:EN1"/>
    <mergeCell ref="B6:C6"/>
    <mergeCell ref="D6:E6"/>
    <mergeCell ref="B9:C9"/>
    <mergeCell ref="D9:E9"/>
    <mergeCell ref="B1:CS1"/>
    <mergeCell ref="CW1:DL1"/>
    <mergeCell ref="DP1:DW1"/>
    <mergeCell ref="EA1:ED1"/>
    <mergeCell ref="EH1:EI1"/>
    <mergeCell ref="N6:O6"/>
    <mergeCell ref="P6:Q6"/>
    <mergeCell ref="R6:S6"/>
    <mergeCell ref="T6:U6"/>
    <mergeCell ref="V6:W6"/>
    <mergeCell ref="X6:Y6"/>
    <mergeCell ref="F6:G6"/>
    <mergeCell ref="F9:G9"/>
    <mergeCell ref="H6:I6"/>
    <mergeCell ref="J6:K6"/>
    <mergeCell ref="J9:K9"/>
    <mergeCell ref="H9:I9"/>
    <mergeCell ref="CP6:CQ6"/>
    <mergeCell ref="CR6:CS6"/>
    <mergeCell ref="D12:E12"/>
    <mergeCell ref="BX6:BY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AZ6:BA6"/>
    <mergeCell ref="BB6:BC6"/>
    <mergeCell ref="BD6:BE6"/>
    <mergeCell ref="BF6:BG6"/>
    <mergeCell ref="BH6:BI6"/>
    <mergeCell ref="BJ6:BK6"/>
    <mergeCell ref="R9:S9"/>
    <mergeCell ref="T9:U9"/>
    <mergeCell ref="V9:W9"/>
    <mergeCell ref="X9:Y9"/>
    <mergeCell ref="Z9:AA9"/>
    <mergeCell ref="AB9:AC9"/>
    <mergeCell ref="AP9:AQ9"/>
    <mergeCell ref="AR9:AS9"/>
    <mergeCell ref="L6:M6"/>
    <mergeCell ref="AN9:AO9"/>
    <mergeCell ref="CJ6:CK6"/>
    <mergeCell ref="CL6:CM6"/>
    <mergeCell ref="CN6:CO6"/>
    <mergeCell ref="AT6:AU6"/>
    <mergeCell ref="AV6:AW6"/>
    <mergeCell ref="AX6:A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B12:AC12"/>
    <mergeCell ref="AD12:AE12"/>
    <mergeCell ref="CL9:CM9"/>
    <mergeCell ref="BN9:BO9"/>
    <mergeCell ref="BP9:BQ9"/>
    <mergeCell ref="BR9:BS9"/>
    <mergeCell ref="BT9:BU9"/>
    <mergeCell ref="BV9:BW9"/>
    <mergeCell ref="BX9:BY9"/>
    <mergeCell ref="BB9:BC9"/>
    <mergeCell ref="BD9:BE9"/>
    <mergeCell ref="BF9:BG9"/>
    <mergeCell ref="BH9:BI9"/>
    <mergeCell ref="BJ9:BK9"/>
    <mergeCell ref="BL9:BM9"/>
    <mergeCell ref="AT9:AU9"/>
    <mergeCell ref="AV9:AW9"/>
    <mergeCell ref="AX9:AY9"/>
    <mergeCell ref="AZ9:BA9"/>
    <mergeCell ref="AD9:AE9"/>
    <mergeCell ref="AF9:AG9"/>
    <mergeCell ref="AH9:AI9"/>
    <mergeCell ref="AJ9:AK9"/>
    <mergeCell ref="AL9:AM9"/>
    <mergeCell ref="CN9:CO9"/>
    <mergeCell ref="CP9:CQ9"/>
    <mergeCell ref="CR9:CS9"/>
    <mergeCell ref="BZ9:CA9"/>
    <mergeCell ref="CB9:CC9"/>
    <mergeCell ref="CD9:CE9"/>
    <mergeCell ref="CF9:CG9"/>
    <mergeCell ref="CH9:CI9"/>
    <mergeCell ref="CJ9:CK9"/>
    <mergeCell ref="CP12:CQ12"/>
    <mergeCell ref="CR12:CS12"/>
    <mergeCell ref="P9:Q9"/>
    <mergeCell ref="N9:O9"/>
    <mergeCell ref="L9:M9"/>
    <mergeCell ref="CB12:CC12"/>
    <mergeCell ref="CD12:CE12"/>
    <mergeCell ref="CF12:CG12"/>
    <mergeCell ref="CH12:CI12"/>
    <mergeCell ref="CJ12:CK12"/>
    <mergeCell ref="CL12:CM12"/>
    <mergeCell ref="BP12:BQ12"/>
    <mergeCell ref="BR12:BS12"/>
    <mergeCell ref="BT12:BU12"/>
    <mergeCell ref="BV12:BW12"/>
    <mergeCell ref="BX12:BY12"/>
    <mergeCell ref="BZ12:CA12"/>
    <mergeCell ref="BD12:BE12"/>
    <mergeCell ref="BF12:BG12"/>
    <mergeCell ref="BH12:BI12"/>
    <mergeCell ref="BJ12:BK12"/>
    <mergeCell ref="BL12:BM12"/>
    <mergeCell ref="BN12:BO12"/>
    <mergeCell ref="AR12:AS12"/>
    <mergeCell ref="B12:C12"/>
    <mergeCell ref="F12:G12"/>
    <mergeCell ref="R12:S12"/>
    <mergeCell ref="P12:Q12"/>
    <mergeCell ref="N12:O12"/>
    <mergeCell ref="L12:M12"/>
    <mergeCell ref="J12:K12"/>
    <mergeCell ref="H12:I12"/>
    <mergeCell ref="CN12:CO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L15:M15"/>
    <mergeCell ref="N15:O15"/>
    <mergeCell ref="P15:Q15"/>
    <mergeCell ref="R15:S15"/>
    <mergeCell ref="T15:U15"/>
    <mergeCell ref="B15:C15"/>
    <mergeCell ref="D15:E15"/>
    <mergeCell ref="F15:G15"/>
    <mergeCell ref="H15:I15"/>
    <mergeCell ref="J15:K15"/>
    <mergeCell ref="AF15:AG15"/>
    <mergeCell ref="AH15:AI15"/>
    <mergeCell ref="AJ15:AK15"/>
    <mergeCell ref="AL15:AM15"/>
    <mergeCell ref="AN15:AO15"/>
    <mergeCell ref="V15:W15"/>
    <mergeCell ref="X15:Y15"/>
    <mergeCell ref="Z15:AA15"/>
    <mergeCell ref="AB15:AC15"/>
    <mergeCell ref="AD15:AE15"/>
    <mergeCell ref="AZ15:BA15"/>
    <mergeCell ref="BB15:BC15"/>
    <mergeCell ref="BD15:BE15"/>
    <mergeCell ref="BF15:BG15"/>
    <mergeCell ref="BH15:BI15"/>
    <mergeCell ref="AP15:AQ15"/>
    <mergeCell ref="AR15:AS15"/>
    <mergeCell ref="AT15:AU15"/>
    <mergeCell ref="AV15:AW15"/>
    <mergeCell ref="AX15:AY15"/>
    <mergeCell ref="BT15:BU15"/>
    <mergeCell ref="BV15:BW15"/>
    <mergeCell ref="BX15:BY15"/>
    <mergeCell ref="BZ15:CA15"/>
    <mergeCell ref="CB15:CC15"/>
    <mergeCell ref="BJ15:BK15"/>
    <mergeCell ref="BL15:BM15"/>
    <mergeCell ref="BN15:BO15"/>
    <mergeCell ref="BP15:BQ15"/>
    <mergeCell ref="BR15:BS15"/>
    <mergeCell ref="DG15:DH15"/>
    <mergeCell ref="DI15:DJ15"/>
    <mergeCell ref="CN15:CO15"/>
    <mergeCell ref="CP15:CQ15"/>
    <mergeCell ref="CR15:CS15"/>
    <mergeCell ref="CW15:CX15"/>
    <mergeCell ref="CY15:CZ15"/>
    <mergeCell ref="CD15:CE15"/>
    <mergeCell ref="CF15:CG15"/>
    <mergeCell ref="CH15:CI15"/>
    <mergeCell ref="CJ15:CK15"/>
    <mergeCell ref="CL15:CM15"/>
    <mergeCell ref="EA15:EB15"/>
    <mergeCell ref="EC15:ED15"/>
    <mergeCell ref="EH15:EI15"/>
    <mergeCell ref="EM15:EN15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DK15:DL15"/>
    <mergeCell ref="DP15:DQ15"/>
    <mergeCell ref="DR15:DS15"/>
    <mergeCell ref="DT15:DU15"/>
    <mergeCell ref="DV15:DW15"/>
    <mergeCell ref="DA15:DB15"/>
    <mergeCell ref="DC15:DD15"/>
    <mergeCell ref="DE15:DF15"/>
    <mergeCell ref="AJ18:AK18"/>
    <mergeCell ref="AL18:AM18"/>
    <mergeCell ref="AN18:AO18"/>
    <mergeCell ref="AP18:AQ18"/>
    <mergeCell ref="AR18:AS18"/>
    <mergeCell ref="Z18:AA18"/>
    <mergeCell ref="AB18:AC18"/>
    <mergeCell ref="AD18:AE18"/>
    <mergeCell ref="AF18:AG18"/>
    <mergeCell ref="AH18:AI18"/>
    <mergeCell ref="BD18:BE18"/>
    <mergeCell ref="BF18:BG18"/>
    <mergeCell ref="BH18:BI18"/>
    <mergeCell ref="BJ18:BK18"/>
    <mergeCell ref="BL18:BM18"/>
    <mergeCell ref="AT18:AU18"/>
    <mergeCell ref="AV18:AW18"/>
    <mergeCell ref="AX18:AY18"/>
    <mergeCell ref="AZ18:BA18"/>
    <mergeCell ref="BB18:BC18"/>
    <mergeCell ref="BX18:BY18"/>
    <mergeCell ref="BZ18:CA18"/>
    <mergeCell ref="CB18:CC18"/>
    <mergeCell ref="CD18:CE18"/>
    <mergeCell ref="CF18:CG18"/>
    <mergeCell ref="BN18:BO18"/>
    <mergeCell ref="BP18:BQ18"/>
    <mergeCell ref="BR18:BS18"/>
    <mergeCell ref="BT18:BU18"/>
    <mergeCell ref="BV18:BW18"/>
    <mergeCell ref="DK18:DL18"/>
    <mergeCell ref="DP18:DQ18"/>
    <mergeCell ref="CR18:CS18"/>
    <mergeCell ref="CW18:CX18"/>
    <mergeCell ref="CY18:CZ18"/>
    <mergeCell ref="DA18:DB18"/>
    <mergeCell ref="DC18:DD18"/>
    <mergeCell ref="CH18:CI18"/>
    <mergeCell ref="CJ18:CK18"/>
    <mergeCell ref="CL18:CM18"/>
    <mergeCell ref="CN18:CO18"/>
    <mergeCell ref="CP18:CQ18"/>
    <mergeCell ref="EH18:EI18"/>
    <mergeCell ref="EM18:EN18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R18:DS18"/>
    <mergeCell ref="DT18:DU18"/>
    <mergeCell ref="DV18:DW18"/>
    <mergeCell ref="EA18:EB18"/>
    <mergeCell ref="EC18:ED18"/>
    <mergeCell ref="DE18:DF18"/>
    <mergeCell ref="DG18:DH18"/>
    <mergeCell ref="DI18:DJ18"/>
    <mergeCell ref="AN21:AO21"/>
    <mergeCell ref="AP21:AQ21"/>
    <mergeCell ref="AR21:AS21"/>
    <mergeCell ref="AT21:AU21"/>
    <mergeCell ref="AV21:AW21"/>
    <mergeCell ref="AD21:AE21"/>
    <mergeCell ref="AF21:AG21"/>
    <mergeCell ref="AH21:AI21"/>
    <mergeCell ref="AJ21:AK21"/>
    <mergeCell ref="AL21:AM21"/>
    <mergeCell ref="BH21:BI21"/>
    <mergeCell ref="BJ21:BK21"/>
    <mergeCell ref="BL21:BM21"/>
    <mergeCell ref="BN21:BO21"/>
    <mergeCell ref="BP21:BQ21"/>
    <mergeCell ref="AX21:AY21"/>
    <mergeCell ref="AZ21:BA21"/>
    <mergeCell ref="BB21:BC21"/>
    <mergeCell ref="BD21:BE21"/>
    <mergeCell ref="BF21:BG21"/>
    <mergeCell ref="CB21:CC21"/>
    <mergeCell ref="CD21:CE21"/>
    <mergeCell ref="CF21:CG21"/>
    <mergeCell ref="CH21:CI21"/>
    <mergeCell ref="CJ21:CK21"/>
    <mergeCell ref="BR21:BS21"/>
    <mergeCell ref="BT21:BU21"/>
    <mergeCell ref="BV21:BW21"/>
    <mergeCell ref="BX21:BY21"/>
    <mergeCell ref="BZ21:CA21"/>
    <mergeCell ref="CY21:CZ21"/>
    <mergeCell ref="DA21:DB21"/>
    <mergeCell ref="DC21:DD21"/>
    <mergeCell ref="DE21:DF21"/>
    <mergeCell ref="DG21:DH21"/>
    <mergeCell ref="CL21:CM21"/>
    <mergeCell ref="CN21:CO21"/>
    <mergeCell ref="CP21:CQ21"/>
    <mergeCell ref="CR21:CS21"/>
    <mergeCell ref="CW21:CX21"/>
    <mergeCell ref="DV21:DW21"/>
    <mergeCell ref="EA21:EB21"/>
    <mergeCell ref="EC21:ED21"/>
    <mergeCell ref="EH21:EI21"/>
    <mergeCell ref="EM21:EN21"/>
    <mergeCell ref="DI21:DJ21"/>
    <mergeCell ref="DK21:DL21"/>
    <mergeCell ref="DP21:DQ21"/>
    <mergeCell ref="DR21:DS21"/>
    <mergeCell ref="DT21:DU21"/>
    <mergeCell ref="L24:M24"/>
    <mergeCell ref="N24:O24"/>
    <mergeCell ref="P24:Q24"/>
    <mergeCell ref="R24:S24"/>
    <mergeCell ref="T24:U24"/>
    <mergeCell ref="B24:C24"/>
    <mergeCell ref="D24:E24"/>
    <mergeCell ref="F24:G24"/>
    <mergeCell ref="H24:I24"/>
    <mergeCell ref="J24:K24"/>
    <mergeCell ref="AF24:AG24"/>
    <mergeCell ref="AH24:AI24"/>
    <mergeCell ref="AJ24:AK24"/>
    <mergeCell ref="AL24:AM24"/>
    <mergeCell ref="AN24:AO24"/>
    <mergeCell ref="V24:W24"/>
    <mergeCell ref="X24:Y24"/>
    <mergeCell ref="Z24:AA24"/>
    <mergeCell ref="AB24:AC24"/>
    <mergeCell ref="AD24:AE24"/>
    <mergeCell ref="AZ24:BA24"/>
    <mergeCell ref="BB24:BC24"/>
    <mergeCell ref="BD24:BE24"/>
    <mergeCell ref="BF24:BG24"/>
    <mergeCell ref="BH24:BI24"/>
    <mergeCell ref="AP24:AQ24"/>
    <mergeCell ref="AR24:AS24"/>
    <mergeCell ref="AT24:AU24"/>
    <mergeCell ref="AV24:AW24"/>
    <mergeCell ref="AX24:AY24"/>
    <mergeCell ref="BT24:BU24"/>
    <mergeCell ref="BV24:BW24"/>
    <mergeCell ref="BX24:BY24"/>
    <mergeCell ref="BZ24:CA24"/>
    <mergeCell ref="CB24:CC24"/>
    <mergeCell ref="BJ24:BK24"/>
    <mergeCell ref="BL24:BM24"/>
    <mergeCell ref="BN24:BO24"/>
    <mergeCell ref="BP24:BQ24"/>
    <mergeCell ref="BR24:BS24"/>
    <mergeCell ref="DG24:DH24"/>
    <mergeCell ref="DI24:DJ24"/>
    <mergeCell ref="CN24:CO24"/>
    <mergeCell ref="CP24:CQ24"/>
    <mergeCell ref="CR24:CS24"/>
    <mergeCell ref="CW24:CX24"/>
    <mergeCell ref="CY24:CZ24"/>
    <mergeCell ref="CD24:CE24"/>
    <mergeCell ref="CF24:CG24"/>
    <mergeCell ref="CH24:CI24"/>
    <mergeCell ref="CJ24:CK24"/>
    <mergeCell ref="CL24:CM24"/>
    <mergeCell ref="EA24:EB24"/>
    <mergeCell ref="EC24:ED24"/>
    <mergeCell ref="EH24:EI24"/>
    <mergeCell ref="EM24:EN24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DK24:DL24"/>
    <mergeCell ref="DP24:DQ24"/>
    <mergeCell ref="DR24:DS24"/>
    <mergeCell ref="DT24:DU24"/>
    <mergeCell ref="DV24:DW24"/>
    <mergeCell ref="DA24:DB24"/>
    <mergeCell ref="DC24:DD24"/>
    <mergeCell ref="DE24:DF24"/>
    <mergeCell ref="AJ27:AK27"/>
    <mergeCell ref="AL27:AM27"/>
    <mergeCell ref="AN27:AO27"/>
    <mergeCell ref="AP27:AQ27"/>
    <mergeCell ref="AR27:AS27"/>
    <mergeCell ref="Z27:AA27"/>
    <mergeCell ref="AB27:AC27"/>
    <mergeCell ref="AD27:AE27"/>
    <mergeCell ref="AF27:AG27"/>
    <mergeCell ref="AH27:AI27"/>
    <mergeCell ref="BD27:BE27"/>
    <mergeCell ref="BF27:BG27"/>
    <mergeCell ref="BH27:BI27"/>
    <mergeCell ref="BJ27:BK27"/>
    <mergeCell ref="BL27:BM27"/>
    <mergeCell ref="AT27:AU27"/>
    <mergeCell ref="AV27:AW27"/>
    <mergeCell ref="AX27:AY27"/>
    <mergeCell ref="AZ27:BA27"/>
    <mergeCell ref="BB27:BC27"/>
    <mergeCell ref="BX27:BY27"/>
    <mergeCell ref="BZ27:CA27"/>
    <mergeCell ref="CB27:CC27"/>
    <mergeCell ref="CD27:CE27"/>
    <mergeCell ref="CF27:CG27"/>
    <mergeCell ref="BN27:BO27"/>
    <mergeCell ref="BP27:BQ27"/>
    <mergeCell ref="BR27:BS27"/>
    <mergeCell ref="BT27:BU27"/>
    <mergeCell ref="BV27:BW27"/>
    <mergeCell ref="DK27:DL27"/>
    <mergeCell ref="DP27:DQ27"/>
    <mergeCell ref="CR27:CS27"/>
    <mergeCell ref="CW27:CX27"/>
    <mergeCell ref="CY27:CZ27"/>
    <mergeCell ref="DA27:DB27"/>
    <mergeCell ref="DC27:DD27"/>
    <mergeCell ref="CH27:CI27"/>
    <mergeCell ref="CJ27:CK27"/>
    <mergeCell ref="CL27:CM27"/>
    <mergeCell ref="CN27:CO27"/>
    <mergeCell ref="CP27:CQ27"/>
    <mergeCell ref="EH27:EI27"/>
    <mergeCell ref="EM27:EN27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R27:DS27"/>
    <mergeCell ref="DT27:DU27"/>
    <mergeCell ref="DV27:DW27"/>
    <mergeCell ref="EA27:EB27"/>
    <mergeCell ref="EC27:ED27"/>
    <mergeCell ref="DE27:DF27"/>
    <mergeCell ref="DG27:DH27"/>
    <mergeCell ref="DI27:DJ27"/>
    <mergeCell ref="AN30:AO30"/>
    <mergeCell ref="AP30:AQ30"/>
    <mergeCell ref="AR30:AS30"/>
    <mergeCell ref="AT30:AU30"/>
    <mergeCell ref="AV30:AW30"/>
    <mergeCell ref="AD30:AE30"/>
    <mergeCell ref="AF30:AG30"/>
    <mergeCell ref="AH30:AI30"/>
    <mergeCell ref="AJ30:AK30"/>
    <mergeCell ref="AL30:AM30"/>
    <mergeCell ref="BH30:BI30"/>
    <mergeCell ref="BJ30:BK30"/>
    <mergeCell ref="BL30:BM30"/>
    <mergeCell ref="BN30:BO30"/>
    <mergeCell ref="BP30:BQ30"/>
    <mergeCell ref="AX30:AY30"/>
    <mergeCell ref="AZ30:BA30"/>
    <mergeCell ref="BB30:BC30"/>
    <mergeCell ref="BD30:BE30"/>
    <mergeCell ref="BF30:BG30"/>
    <mergeCell ref="CB30:CC30"/>
    <mergeCell ref="CD30:CE30"/>
    <mergeCell ref="CF30:CG30"/>
    <mergeCell ref="CH30:CI30"/>
    <mergeCell ref="CJ30:CK30"/>
    <mergeCell ref="BR30:BS30"/>
    <mergeCell ref="BT30:BU30"/>
    <mergeCell ref="BV30:BW30"/>
    <mergeCell ref="BX30:BY30"/>
    <mergeCell ref="BZ30:CA30"/>
    <mergeCell ref="CY30:CZ30"/>
    <mergeCell ref="DA30:DB30"/>
    <mergeCell ref="DC30:DD30"/>
    <mergeCell ref="DE30:DF30"/>
    <mergeCell ref="DG30:DH30"/>
    <mergeCell ref="CL30:CM30"/>
    <mergeCell ref="CN30:CO30"/>
    <mergeCell ref="CP30:CQ30"/>
    <mergeCell ref="CR30:CS30"/>
    <mergeCell ref="CW30:CX30"/>
    <mergeCell ref="DV30:DW30"/>
    <mergeCell ref="EA30:EB30"/>
    <mergeCell ref="EC30:ED30"/>
    <mergeCell ref="EH30:EI30"/>
    <mergeCell ref="EM30:EN30"/>
    <mergeCell ref="DI30:DJ30"/>
    <mergeCell ref="DK30:DL30"/>
    <mergeCell ref="DP30:DQ30"/>
    <mergeCell ref="DR30:DS30"/>
    <mergeCell ref="DT30:DU30"/>
    <mergeCell ref="L33:M33"/>
    <mergeCell ref="N33:O33"/>
    <mergeCell ref="P33:Q33"/>
    <mergeCell ref="R33:S33"/>
    <mergeCell ref="T33:U33"/>
    <mergeCell ref="B33:C33"/>
    <mergeCell ref="D33:E33"/>
    <mergeCell ref="F33:G33"/>
    <mergeCell ref="H33:I33"/>
    <mergeCell ref="J33:K33"/>
    <mergeCell ref="AF33:AG33"/>
    <mergeCell ref="AH33:AI33"/>
    <mergeCell ref="AJ33:AK33"/>
    <mergeCell ref="AL33:AM33"/>
    <mergeCell ref="AN33:AO33"/>
    <mergeCell ref="V33:W33"/>
    <mergeCell ref="X33:Y33"/>
    <mergeCell ref="Z33:AA33"/>
    <mergeCell ref="AB33:AC33"/>
    <mergeCell ref="AD33:AE33"/>
    <mergeCell ref="AZ33:BA33"/>
    <mergeCell ref="BB33:BC33"/>
    <mergeCell ref="BD33:BE33"/>
    <mergeCell ref="BF33:BG33"/>
    <mergeCell ref="BH33:BI33"/>
    <mergeCell ref="AP33:AQ33"/>
    <mergeCell ref="AR33:AS33"/>
    <mergeCell ref="AT33:AU33"/>
    <mergeCell ref="AV33:AW33"/>
    <mergeCell ref="AX33:AY33"/>
    <mergeCell ref="BT33:BU33"/>
    <mergeCell ref="BV33:BW33"/>
    <mergeCell ref="BX33:BY33"/>
    <mergeCell ref="BZ33:CA33"/>
    <mergeCell ref="CB33:CC33"/>
    <mergeCell ref="BJ33:BK33"/>
    <mergeCell ref="BL33:BM33"/>
    <mergeCell ref="BN33:BO33"/>
    <mergeCell ref="BP33:BQ33"/>
    <mergeCell ref="BR33:BS33"/>
    <mergeCell ref="DG33:DH33"/>
    <mergeCell ref="DI33:DJ33"/>
    <mergeCell ref="CN33:CO33"/>
    <mergeCell ref="CP33:CQ33"/>
    <mergeCell ref="CR33:CS33"/>
    <mergeCell ref="CW33:CX33"/>
    <mergeCell ref="CY33:CZ33"/>
    <mergeCell ref="CD33:CE33"/>
    <mergeCell ref="CF33:CG33"/>
    <mergeCell ref="CH33:CI33"/>
    <mergeCell ref="CJ33:CK33"/>
    <mergeCell ref="CL33:CM33"/>
    <mergeCell ref="EA33:EB33"/>
    <mergeCell ref="EC33:ED33"/>
    <mergeCell ref="EH33:EI33"/>
    <mergeCell ref="EM33:EN33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DK33:DL33"/>
    <mergeCell ref="DP33:DQ33"/>
    <mergeCell ref="DR33:DS33"/>
    <mergeCell ref="DT33:DU33"/>
    <mergeCell ref="DV33:DW33"/>
    <mergeCell ref="DA33:DB33"/>
    <mergeCell ref="DC33:DD33"/>
    <mergeCell ref="DE33:DF33"/>
    <mergeCell ref="AJ36:AK36"/>
    <mergeCell ref="AL36:AM36"/>
    <mergeCell ref="AN36:AO36"/>
    <mergeCell ref="AP36:AQ36"/>
    <mergeCell ref="AR36:AS36"/>
    <mergeCell ref="Z36:AA36"/>
    <mergeCell ref="AB36:AC36"/>
    <mergeCell ref="AD36:AE36"/>
    <mergeCell ref="AF36:AG36"/>
    <mergeCell ref="AH36:AI36"/>
    <mergeCell ref="BD36:BE36"/>
    <mergeCell ref="BF36:BG36"/>
    <mergeCell ref="BH36:BI36"/>
    <mergeCell ref="BJ36:BK36"/>
    <mergeCell ref="BL36:BM36"/>
    <mergeCell ref="AT36:AU36"/>
    <mergeCell ref="AV36:AW36"/>
    <mergeCell ref="AX36:AY36"/>
    <mergeCell ref="AZ36:BA36"/>
    <mergeCell ref="BB36:BC36"/>
    <mergeCell ref="BX36:BY36"/>
    <mergeCell ref="BZ36:CA36"/>
    <mergeCell ref="CB36:CC36"/>
    <mergeCell ref="CD36:CE36"/>
    <mergeCell ref="CF36:CG36"/>
    <mergeCell ref="BN36:BO36"/>
    <mergeCell ref="BP36:BQ36"/>
    <mergeCell ref="BR36:BS36"/>
    <mergeCell ref="BT36:BU36"/>
    <mergeCell ref="BV36:BW36"/>
    <mergeCell ref="DK36:DL36"/>
    <mergeCell ref="DP36:DQ36"/>
    <mergeCell ref="CR36:CS36"/>
    <mergeCell ref="CW36:CX36"/>
    <mergeCell ref="CY36:CZ36"/>
    <mergeCell ref="DA36:DB36"/>
    <mergeCell ref="DC36:DD36"/>
    <mergeCell ref="CH36:CI36"/>
    <mergeCell ref="CJ36:CK36"/>
    <mergeCell ref="CL36:CM36"/>
    <mergeCell ref="CN36:CO36"/>
    <mergeCell ref="CP36:CQ36"/>
    <mergeCell ref="EH36:EI36"/>
    <mergeCell ref="EM36:EN36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R36:DS36"/>
    <mergeCell ref="DT36:DU36"/>
    <mergeCell ref="DV36:DW36"/>
    <mergeCell ref="EA36:EB36"/>
    <mergeCell ref="EC36:ED36"/>
    <mergeCell ref="DE36:DF36"/>
    <mergeCell ref="DG36:DH36"/>
    <mergeCell ref="DI36:DJ36"/>
    <mergeCell ref="AN39:AO39"/>
    <mergeCell ref="AP39:AQ39"/>
    <mergeCell ref="AR39:AS39"/>
    <mergeCell ref="AT39:AU39"/>
    <mergeCell ref="AV39:AW39"/>
    <mergeCell ref="AD39:AE39"/>
    <mergeCell ref="AF39:AG39"/>
    <mergeCell ref="AH39:AI39"/>
    <mergeCell ref="AJ39:AK39"/>
    <mergeCell ref="AL39:AM39"/>
    <mergeCell ref="BH39:BI39"/>
    <mergeCell ref="BJ39:BK39"/>
    <mergeCell ref="BL39:BM39"/>
    <mergeCell ref="BN39:BO39"/>
    <mergeCell ref="BP39:BQ39"/>
    <mergeCell ref="AX39:AY39"/>
    <mergeCell ref="AZ39:BA39"/>
    <mergeCell ref="BB39:BC39"/>
    <mergeCell ref="BD39:BE39"/>
    <mergeCell ref="BF39:BG39"/>
    <mergeCell ref="CB39:CC39"/>
    <mergeCell ref="CD39:CE39"/>
    <mergeCell ref="CF39:CG39"/>
    <mergeCell ref="CH39:CI39"/>
    <mergeCell ref="CJ39:CK39"/>
    <mergeCell ref="BR39:BS39"/>
    <mergeCell ref="BT39:BU39"/>
    <mergeCell ref="BV39:BW39"/>
    <mergeCell ref="BX39:BY39"/>
    <mergeCell ref="BZ39:CA39"/>
    <mergeCell ref="CY39:CZ39"/>
    <mergeCell ref="DA39:DB39"/>
    <mergeCell ref="DC39:DD39"/>
    <mergeCell ref="DE39:DF39"/>
    <mergeCell ref="DG39:DH39"/>
    <mergeCell ref="CL39:CM39"/>
    <mergeCell ref="CN39:CO39"/>
    <mergeCell ref="CP39:CQ39"/>
    <mergeCell ref="CR39:CS39"/>
    <mergeCell ref="CW39:CX39"/>
    <mergeCell ref="DV39:DW39"/>
    <mergeCell ref="EA39:EB39"/>
    <mergeCell ref="EC39:ED39"/>
    <mergeCell ref="EH39:EI39"/>
    <mergeCell ref="EM39:EN39"/>
    <mergeCell ref="DI39:DJ39"/>
    <mergeCell ref="DK39:DL39"/>
    <mergeCell ref="DP39:DQ39"/>
    <mergeCell ref="DR39:DS39"/>
    <mergeCell ref="DT39:DU39"/>
    <mergeCell ref="L42:M42"/>
    <mergeCell ref="N42:O42"/>
    <mergeCell ref="P42:Q42"/>
    <mergeCell ref="R42:S42"/>
    <mergeCell ref="T42:U42"/>
    <mergeCell ref="B42:C42"/>
    <mergeCell ref="D42:E42"/>
    <mergeCell ref="F42:G42"/>
    <mergeCell ref="H42:I42"/>
    <mergeCell ref="J42:K42"/>
    <mergeCell ref="AF42:AG42"/>
    <mergeCell ref="AH42:AI42"/>
    <mergeCell ref="AJ42:AK42"/>
    <mergeCell ref="AL42:AM42"/>
    <mergeCell ref="AN42:AO42"/>
    <mergeCell ref="V42:W42"/>
    <mergeCell ref="X42:Y42"/>
    <mergeCell ref="Z42:AA42"/>
    <mergeCell ref="AB42:AC42"/>
    <mergeCell ref="AD42:AE42"/>
    <mergeCell ref="AZ42:BA42"/>
    <mergeCell ref="BB42:BC42"/>
    <mergeCell ref="BD42:BE42"/>
    <mergeCell ref="BF42:BG42"/>
    <mergeCell ref="BH42:BI42"/>
    <mergeCell ref="AP42:AQ42"/>
    <mergeCell ref="AR42:AS42"/>
    <mergeCell ref="AT42:AU42"/>
    <mergeCell ref="AV42:AW42"/>
    <mergeCell ref="AX42:AY42"/>
    <mergeCell ref="BT42:BU42"/>
    <mergeCell ref="BV42:BW42"/>
    <mergeCell ref="BX42:BY42"/>
    <mergeCell ref="BZ42:CA42"/>
    <mergeCell ref="CB42:CC42"/>
    <mergeCell ref="BJ42:BK42"/>
    <mergeCell ref="BL42:BM42"/>
    <mergeCell ref="BN42:BO42"/>
    <mergeCell ref="BP42:BQ42"/>
    <mergeCell ref="BR42:BS42"/>
    <mergeCell ref="DG42:DH42"/>
    <mergeCell ref="DI42:DJ42"/>
    <mergeCell ref="CN42:CO42"/>
    <mergeCell ref="CP42:CQ42"/>
    <mergeCell ref="CR42:CS42"/>
    <mergeCell ref="CW42:CX42"/>
    <mergeCell ref="CY42:CZ42"/>
    <mergeCell ref="CD42:CE42"/>
    <mergeCell ref="CF42:CG42"/>
    <mergeCell ref="CH42:CI42"/>
    <mergeCell ref="CJ42:CK42"/>
    <mergeCell ref="CL42:CM42"/>
    <mergeCell ref="EA42:EB42"/>
    <mergeCell ref="EC42:ED42"/>
    <mergeCell ref="EH42:EI42"/>
    <mergeCell ref="EM42:EN42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DK42:DL42"/>
    <mergeCell ref="DP42:DQ42"/>
    <mergeCell ref="DR42:DS42"/>
    <mergeCell ref="DT42:DU42"/>
    <mergeCell ref="DV42:DW42"/>
    <mergeCell ref="DA42:DB42"/>
    <mergeCell ref="DC42:DD42"/>
    <mergeCell ref="DE42:DF42"/>
    <mergeCell ref="AJ45:AK45"/>
    <mergeCell ref="AL45:AM45"/>
    <mergeCell ref="AN45:AO45"/>
    <mergeCell ref="AP45:AQ45"/>
    <mergeCell ref="AR45:AS45"/>
    <mergeCell ref="Z45:AA45"/>
    <mergeCell ref="AB45:AC45"/>
    <mergeCell ref="AD45:AE45"/>
    <mergeCell ref="AF45:AG45"/>
    <mergeCell ref="AH45:AI45"/>
    <mergeCell ref="BD45:BE45"/>
    <mergeCell ref="BF45:BG45"/>
    <mergeCell ref="BH45:BI45"/>
    <mergeCell ref="BJ45:BK45"/>
    <mergeCell ref="BL45:BM45"/>
    <mergeCell ref="AT45:AU45"/>
    <mergeCell ref="AV45:AW45"/>
    <mergeCell ref="AX45:AY45"/>
    <mergeCell ref="AZ45:BA45"/>
    <mergeCell ref="BB45:BC45"/>
    <mergeCell ref="BX45:BY45"/>
    <mergeCell ref="BZ45:CA45"/>
    <mergeCell ref="CB45:CC45"/>
    <mergeCell ref="CD45:CE45"/>
    <mergeCell ref="CF45:CG45"/>
    <mergeCell ref="BN45:BO45"/>
    <mergeCell ref="BP45:BQ45"/>
    <mergeCell ref="BR45:BS45"/>
    <mergeCell ref="BT45:BU45"/>
    <mergeCell ref="BV45:BW45"/>
    <mergeCell ref="DK45:DL45"/>
    <mergeCell ref="DP45:DQ45"/>
    <mergeCell ref="CR45:CS45"/>
    <mergeCell ref="CW45:CX45"/>
    <mergeCell ref="CY45:CZ45"/>
    <mergeCell ref="DA45:DB45"/>
    <mergeCell ref="DC45:DD45"/>
    <mergeCell ref="CH45:CI45"/>
    <mergeCell ref="CJ45:CK45"/>
    <mergeCell ref="CL45:CM45"/>
    <mergeCell ref="CN45:CO45"/>
    <mergeCell ref="CP45:CQ45"/>
    <mergeCell ref="EH45:EI45"/>
    <mergeCell ref="EM45:EN45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DR45:DS45"/>
    <mergeCell ref="DT45:DU45"/>
    <mergeCell ref="DV45:DW45"/>
    <mergeCell ref="EA45:EB45"/>
    <mergeCell ref="EC45:ED45"/>
    <mergeCell ref="DE45:DF45"/>
    <mergeCell ref="DG45:DH45"/>
    <mergeCell ref="DI45:DJ45"/>
    <mergeCell ref="AN48:AO48"/>
    <mergeCell ref="AP48:AQ48"/>
    <mergeCell ref="AR48:AS48"/>
    <mergeCell ref="AT48:AU48"/>
    <mergeCell ref="AV48:AW48"/>
    <mergeCell ref="AD48:AE48"/>
    <mergeCell ref="AF48:AG48"/>
    <mergeCell ref="AH48:AI48"/>
    <mergeCell ref="AJ48:AK48"/>
    <mergeCell ref="AL48:AM48"/>
    <mergeCell ref="BH48:BI48"/>
    <mergeCell ref="BJ48:BK48"/>
    <mergeCell ref="BL48:BM48"/>
    <mergeCell ref="BN48:BO48"/>
    <mergeCell ref="BP48:BQ48"/>
    <mergeCell ref="AX48:AY48"/>
    <mergeCell ref="AZ48:BA48"/>
    <mergeCell ref="BB48:BC48"/>
    <mergeCell ref="BD48:BE48"/>
    <mergeCell ref="BF48:BG48"/>
    <mergeCell ref="CB48:CC48"/>
    <mergeCell ref="CD48:CE48"/>
    <mergeCell ref="CF48:CG48"/>
    <mergeCell ref="CH48:CI48"/>
    <mergeCell ref="CJ48:CK48"/>
    <mergeCell ref="BR48:BS48"/>
    <mergeCell ref="BT48:BU48"/>
    <mergeCell ref="BV48:BW48"/>
    <mergeCell ref="BX48:BY48"/>
    <mergeCell ref="BZ48:CA48"/>
    <mergeCell ref="CY48:CZ48"/>
    <mergeCell ref="DA48:DB48"/>
    <mergeCell ref="DC48:DD48"/>
    <mergeCell ref="DE48:DF48"/>
    <mergeCell ref="DG48:DH48"/>
    <mergeCell ref="CL48:CM48"/>
    <mergeCell ref="CN48:CO48"/>
    <mergeCell ref="CP48:CQ48"/>
    <mergeCell ref="CR48:CS48"/>
    <mergeCell ref="CW48:CX48"/>
    <mergeCell ref="DV48:DW48"/>
    <mergeCell ref="EA48:EB48"/>
    <mergeCell ref="EC48:ED48"/>
    <mergeCell ref="EH48:EI48"/>
    <mergeCell ref="EM48:EN48"/>
    <mergeCell ref="DI48:DJ48"/>
    <mergeCell ref="DK48:DL48"/>
    <mergeCell ref="DP48:DQ48"/>
    <mergeCell ref="DR48:DS48"/>
    <mergeCell ref="DT48:DU48"/>
  </mergeCells>
  <pageMargins left="0.7" right="0.7" top="0.75" bottom="0.75" header="0.3" footer="0.3"/>
  <pageSetup orientation="portrait" r:id="rId1"/>
  <ignoredErrors>
    <ignoredError sqref="CY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109D-2260-45CC-8028-63B5EE03301C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Positions</vt:lpstr>
      <vt:lpstr>Results!Print_Area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Millan</dc:creator>
  <cp:lastModifiedBy>Ricardo Millan</cp:lastModifiedBy>
  <dcterms:created xsi:type="dcterms:W3CDTF">2018-05-31T13:25:44Z</dcterms:created>
  <dcterms:modified xsi:type="dcterms:W3CDTF">2018-06-15T13:54:12Z</dcterms:modified>
</cp:coreProperties>
</file>